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tc={1899a0ce-a9b1-4965-945e-13e90134f3a0}</author>
  </authors>
  <commentList>
    <comment authorId="0" xr:uid="{1899a0ce-a9b1-4965-945e-13e90134f3a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데스크 리서치를 진행하면서 리서치 디자인을 해도 되나요?
</t>
      </text>
    </comment>
  </commentList>
</comments>
</file>

<file path=xl/sharedStrings.xml><?xml version="1.0" encoding="utf-8"?>
<sst xmlns="http://schemas.openxmlformats.org/spreadsheetml/2006/main" count="147" uniqueCount="82">
  <si>
    <t>SHAPE WBS</t>
  </si>
  <si>
    <t>프로젝트 이름</t>
  </si>
  <si>
    <t>SHAPE</t>
  </si>
  <si>
    <t>회사명</t>
  </si>
  <si>
    <t>하이디 그룹</t>
  </si>
  <si>
    <t>프로젝트 실무자</t>
  </si>
  <si>
    <t>유정원</t>
  </si>
  <si>
    <t>날짜</t>
  </si>
  <si>
    <t>프로젝트 관리자</t>
  </si>
  <si>
    <t>하태영 실장님</t>
  </si>
  <si>
    <t>WBS 번호</t>
  </si>
  <si>
    <t>작업 제목</t>
  </si>
  <si>
    <t>작업 소유자</t>
  </si>
  <si>
    <t>시작일</t>
  </si>
  <si>
    <t>마감일</t>
  </si>
  <si>
    <t>기간</t>
  </si>
  <si>
    <t>작업 완료 비율</t>
  </si>
  <si>
    <t>1단계</t>
  </si>
  <si>
    <t>2단계</t>
  </si>
  <si>
    <t>3단계</t>
  </si>
  <si>
    <t>4단계</t>
  </si>
  <si>
    <t>5단계</t>
  </si>
  <si>
    <t>6단계</t>
  </si>
  <si>
    <t>연장</t>
  </si>
  <si>
    <t>작업 서포터</t>
  </si>
  <si>
    <t>0주</t>
  </si>
  <si>
    <t>1주</t>
  </si>
  <si>
    <t>2주</t>
  </si>
  <si>
    <t>3주</t>
  </si>
  <si>
    <t>4주</t>
  </si>
  <si>
    <t>5주</t>
  </si>
  <si>
    <t>6주</t>
  </si>
  <si>
    <t>월</t>
  </si>
  <si>
    <t>화</t>
  </si>
  <si>
    <t>수</t>
  </si>
  <si>
    <t>목</t>
  </si>
  <si>
    <t>금</t>
  </si>
  <si>
    <t>프로젝트 정의 및 계획</t>
  </si>
  <si>
    <t>프로젝트 토픽 선정</t>
  </si>
  <si>
    <t>1.1.1</t>
  </si>
  <si>
    <t>프로젝트 토픽 리스트업</t>
  </si>
  <si>
    <t>소셜미디어 포스트 계획</t>
  </si>
  <si>
    <t>1.2.1</t>
  </si>
  <si>
    <t>소셜미디어 첫번째 포스트 제작 - 계정의 목적과 프로젝트 설명</t>
  </si>
  <si>
    <t>1.2.2</t>
  </si>
  <si>
    <t>소셜미디어 계정 개설 및 계정 셋업</t>
  </si>
  <si>
    <t>Research Design</t>
  </si>
  <si>
    <t>Desk Research</t>
  </si>
  <si>
    <t>2.1.1</t>
  </si>
  <si>
    <t>Desk Research 공유 및 피드백</t>
  </si>
  <si>
    <t>To Know List 작성</t>
  </si>
  <si>
    <t>Interview Question 정리</t>
  </si>
  <si>
    <t>리서치 공유 및 피드백 (대표님, 실장님)</t>
  </si>
  <si>
    <t>1주차 리서치 SNS 포스팅</t>
  </si>
  <si>
    <t>Field Research</t>
  </si>
  <si>
    <t>Observation</t>
  </si>
  <si>
    <t>Interview 진행</t>
  </si>
  <si>
    <t xml:space="preserve"> 하태영 실장님</t>
  </si>
  <si>
    <t>3.2.1</t>
  </si>
  <si>
    <t>Interviewee Recruit</t>
  </si>
  <si>
    <t>리서치 공유 및 피드백 (실장님)</t>
  </si>
  <si>
    <t>2주차 리서치 SNS 포스팅</t>
  </si>
  <si>
    <t>Insight 도출</t>
  </si>
  <si>
    <t>quotation 포스트잇으로 정리</t>
  </si>
  <si>
    <t>각 포스트잇별 need 발굴</t>
  </si>
  <si>
    <t>하태영 실장님, 대표님</t>
  </si>
  <si>
    <t>Need Clustering</t>
  </si>
  <si>
    <t>Clustering 중 중요도별 정리</t>
  </si>
  <si>
    <t>Customer Journey Map으로 정리</t>
  </si>
  <si>
    <t>인사이트 공유 (실장님, 대표님)</t>
  </si>
  <si>
    <t>3주차 리서치 SNS 포스팅</t>
  </si>
  <si>
    <t>Solution Generation</t>
  </si>
  <si>
    <t>Solution Criteria 제작 (must have, should have, nice to have)</t>
  </si>
  <si>
    <t>관련 솔루션 리서치</t>
  </si>
  <si>
    <t>Solution Ideation</t>
  </si>
  <si>
    <t>Solution MVP 제작</t>
  </si>
  <si>
    <t>4주차 리서치 SNS 포스팅</t>
  </si>
  <si>
    <t>정리 및 발표</t>
  </si>
  <si>
    <t>최종 발표</t>
  </si>
  <si>
    <t>6.1.1</t>
  </si>
  <si>
    <t>최종 발표 자료 제작</t>
  </si>
  <si>
    <t>배포용 보고서 제작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</si>
</sst>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&quot;년 &quot;m&quot;월 &quot;d&quot;일&quot;"/>
    <numFmt numFmtId="165" formatCode="m/d"/>
    <numFmt numFmtId="166" formatCode="&quot;$&quot;#,##0.00"/>
  </numFmts>
  <fonts count="30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000000"/>
      <name val="Roboto"/>
    </font>
    <font>
      <b/>
      <sz val="8.0"/>
      <name val="Roboto"/>
    </font>
    <font>
      <sz val="9.0"/>
      <name val="Roboto"/>
    </font>
    <font>
      <b/>
      <sz val="11.0"/>
      <color rgb="FF000000"/>
      <name val="Roboto"/>
    </font>
    <font>
      <b/>
      <sz val="10.0"/>
      <color rgb="FF434343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EDEDED"/>
        <bgColor rgb="FFEDEDED"/>
      </patternFill>
    </fill>
    <fill>
      <patternFill patternType="solid">
        <fgColor rgb="FF73C79E"/>
        <bgColor rgb="FF73C79E"/>
      </patternFill>
    </fill>
  </fills>
  <borders count="16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9" xfId="0" applyAlignment="1" applyFont="1" applyNumberFormat="1">
      <alignment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2" fontId="9" numFmtId="9" xfId="0" applyAlignment="1" applyBorder="1" applyFont="1" applyNumberFormat="1">
      <alignment readingOrder="0" shrinkToFit="0" vertical="center" wrapText="0"/>
    </xf>
    <xf borderId="1" fillId="2" fontId="10" numFmtId="0" xfId="0" applyAlignment="1" applyBorder="1" applyFont="1">
      <alignment readingOrder="0" shrinkToFit="0" vertical="center" wrapText="1"/>
    </xf>
    <xf borderId="1" fillId="2" fontId="11" numFmtId="0" xfId="0" applyAlignment="1" applyBorder="1" applyFont="1">
      <alignment readingOrder="0" shrinkToFit="0" vertical="center" wrapText="1"/>
    </xf>
    <xf borderId="0" fillId="2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0" fillId="2" fontId="14" numFmtId="9" xfId="0" applyAlignment="1" applyFont="1" applyNumberFormat="1">
      <alignment readingOrder="0" shrinkToFit="0" vertical="center" wrapText="0"/>
    </xf>
    <xf borderId="0" fillId="2" fontId="15" numFmtId="0" xfId="0" applyAlignment="1" applyFont="1">
      <alignment shrinkToFit="0" vertical="center" wrapText="0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8" numFmtId="0" xfId="0" applyAlignment="1" applyBorder="1" applyFont="1">
      <alignment readingOrder="0" shrinkToFit="0" vertical="center" wrapText="0"/>
    </xf>
    <xf borderId="0" fillId="2" fontId="18" numFmtId="9" xfId="0" applyAlignment="1" applyFont="1" applyNumberFormat="1">
      <alignment readingOrder="0" shrinkToFit="0" vertical="center" wrapText="0"/>
    </xf>
    <xf borderId="2" fillId="0" fontId="18" numFmtId="0" xfId="0" applyAlignment="1" applyBorder="1" applyFont="1">
      <alignment horizontal="left" readingOrder="0" vertical="center"/>
    </xf>
    <xf borderId="0" fillId="0" fontId="4" numFmtId="0" xfId="0" applyFont="1"/>
    <xf borderId="2" fillId="0" fontId="18" numFmtId="0" xfId="0" applyAlignment="1" applyBorder="1" applyFont="1">
      <alignment readingOrder="0" shrinkToFit="0" vertical="center" wrapText="0"/>
    </xf>
    <xf borderId="0" fillId="0" fontId="18" numFmtId="9" xfId="0" applyAlignment="1" applyFont="1" applyNumberFormat="1">
      <alignment readingOrder="0" shrinkToFit="0" vertical="center" wrapText="0"/>
    </xf>
    <xf borderId="2" fillId="0" fontId="18" numFmtId="164" xfId="0" applyAlignment="1" applyBorder="1" applyFont="1" applyNumberFormat="1">
      <alignment horizontal="left" readingOrder="0" vertical="center"/>
    </xf>
    <xf borderId="2" fillId="0" fontId="18" numFmtId="0" xfId="0" applyBorder="1" applyFont="1"/>
    <xf borderId="0" fillId="0" fontId="1" numFmtId="0" xfId="0" applyFont="1"/>
    <xf borderId="0" fillId="0" fontId="19" numFmtId="0" xfId="0" applyAlignment="1" applyFont="1">
      <alignment vertical="center"/>
    </xf>
    <xf borderId="0" fillId="2" fontId="20" numFmtId="0" xfId="0" applyAlignment="1" applyFont="1">
      <alignment shrinkToFit="0" vertical="center" wrapText="0"/>
    </xf>
    <xf borderId="0" fillId="2" fontId="20" numFmtId="0" xfId="0" applyAlignment="1" applyFont="1">
      <alignment horizontal="center" shrinkToFit="0" vertical="center" wrapText="0"/>
    </xf>
    <xf borderId="0" fillId="2" fontId="20" numFmtId="9" xfId="0" applyAlignment="1" applyFont="1" applyNumberForma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3" fontId="21" numFmtId="0" xfId="0" applyAlignment="1" applyFill="1" applyFont="1">
      <alignment horizontal="center" readingOrder="0" shrinkToFit="0" vertical="center" wrapText="1"/>
    </xf>
    <xf borderId="0" fillId="3" fontId="21" numFmtId="9" xfId="0" applyAlignment="1" applyFont="1" applyNumberFormat="1">
      <alignment horizontal="center" readingOrder="0" shrinkToFit="0" vertical="center" wrapText="1"/>
    </xf>
    <xf borderId="3" fillId="4" fontId="22" numFmtId="0" xfId="0" applyAlignment="1" applyBorder="1" applyFill="1" applyFont="1">
      <alignment horizontal="center" readingOrder="0" shrinkToFit="0" vertical="center" wrapText="0"/>
    </xf>
    <xf borderId="3" fillId="5" fontId="22" numFmtId="0" xfId="0" applyAlignment="1" applyBorder="1" applyFill="1" applyFont="1">
      <alignment horizontal="center" readingOrder="0" shrinkToFit="0" vertical="center" wrapText="0"/>
    </xf>
    <xf borderId="3" fillId="6" fontId="22" numFmtId="0" xfId="0" applyAlignment="1" applyBorder="1" applyFill="1" applyFont="1">
      <alignment horizontal="center" readingOrder="0" shrinkToFit="0" vertical="center" wrapText="0"/>
    </xf>
    <xf borderId="3" fillId="7" fontId="22" numFmtId="0" xfId="0" applyAlignment="1" applyBorder="1" applyFill="1" applyFont="1">
      <alignment horizontal="center" readingOrder="0" shrinkToFit="0" vertical="center" wrapText="0"/>
    </xf>
    <xf borderId="3" fillId="8" fontId="22" numFmtId="0" xfId="0" applyAlignment="1" applyBorder="1" applyFill="1" applyFont="1">
      <alignment horizontal="center" readingOrder="0" shrinkToFit="0" vertical="center" wrapText="0"/>
    </xf>
    <xf borderId="3" fillId="9" fontId="22" numFmtId="0" xfId="0" applyAlignment="1" applyBorder="1" applyFill="1" applyFont="1">
      <alignment horizontal="center" readingOrder="0" shrinkToFit="0" vertical="center" wrapText="0"/>
    </xf>
    <xf borderId="0" fillId="3" fontId="22" numFmtId="0" xfId="0" applyAlignment="1" applyFont="1">
      <alignment horizontal="center" readingOrder="0" shrinkToFit="0" vertical="center" wrapText="0"/>
    </xf>
    <xf borderId="0" fillId="0" fontId="23" numFmtId="0" xfId="0" applyAlignment="1" applyFont="1">
      <alignment vertical="center"/>
    </xf>
    <xf borderId="4" fillId="3" fontId="22" numFmtId="0" xfId="0" applyAlignment="1" applyBorder="1" applyFont="1">
      <alignment horizontal="center" readingOrder="0" shrinkToFit="0" vertical="center" wrapText="0"/>
    </xf>
    <xf borderId="5" fillId="0" fontId="8" numFmtId="0" xfId="0" applyBorder="1" applyFont="1"/>
    <xf borderId="6" fillId="0" fontId="8" numFmtId="0" xfId="0" applyBorder="1" applyFont="1"/>
    <xf borderId="0" fillId="0" fontId="24" numFmtId="0" xfId="0" applyAlignment="1" applyFont="1">
      <alignment vertical="center"/>
    </xf>
    <xf borderId="7" fillId="3" fontId="22" numFmtId="165" xfId="0" applyAlignment="1" applyBorder="1" applyFont="1" applyNumberFormat="1">
      <alignment horizontal="center" readingOrder="0" shrinkToFit="0" vertical="center" wrapText="0"/>
    </xf>
    <xf borderId="7" fillId="3" fontId="22" numFmtId="0" xfId="0" applyAlignment="1" applyBorder="1" applyFont="1">
      <alignment horizontal="center" readingOrder="0" shrinkToFit="0" vertical="center" wrapText="0"/>
    </xf>
    <xf borderId="8" fillId="10" fontId="25" numFmtId="0" xfId="0" applyAlignment="1" applyBorder="1" applyFill="1" applyFont="1">
      <alignment horizontal="left" readingOrder="0" shrinkToFit="0" vertical="center" wrapText="1"/>
    </xf>
    <xf borderId="8" fillId="10" fontId="25" numFmtId="0" xfId="0" applyAlignment="1" applyBorder="1" applyFont="1">
      <alignment readingOrder="0" shrinkToFit="0" vertical="center" wrapText="0"/>
    </xf>
    <xf borderId="8" fillId="10" fontId="25" numFmtId="0" xfId="0" applyAlignment="1" applyBorder="1" applyFont="1">
      <alignment readingOrder="0" shrinkToFit="0" vertical="center" wrapText="1"/>
    </xf>
    <xf borderId="0" fillId="10" fontId="25" numFmtId="0" xfId="0" applyAlignment="1" applyFont="1">
      <alignment readingOrder="0" shrinkToFit="0" vertical="center" wrapText="1"/>
    </xf>
    <xf borderId="9" fillId="10" fontId="26" numFmtId="164" xfId="0" applyAlignment="1" applyBorder="1" applyFont="1" applyNumberFormat="1">
      <alignment horizontal="left" readingOrder="0" shrinkToFit="0" vertical="center" wrapText="1"/>
    </xf>
    <xf borderId="8" fillId="10" fontId="25" numFmtId="9" xfId="0" applyAlignment="1" applyBorder="1" applyFont="1" applyNumberFormat="1">
      <alignment readingOrder="0" shrinkToFit="0" vertical="center" wrapText="1"/>
    </xf>
    <xf borderId="0" fillId="10" fontId="25" numFmtId="0" xfId="0" applyAlignment="1" applyFont="1">
      <alignment horizontal="center" shrinkToFit="0" vertical="center" wrapText="0"/>
    </xf>
    <xf borderId="0" fillId="10" fontId="25" numFmtId="166" xfId="0" applyAlignment="1" applyFont="1" applyNumberFormat="1">
      <alignment horizontal="center" shrinkToFit="0" vertical="center" wrapText="0"/>
    </xf>
    <xf borderId="0" fillId="10" fontId="25" numFmtId="3" xfId="0" applyAlignment="1" applyFont="1" applyNumberFormat="1">
      <alignment horizontal="center" shrinkToFit="0" vertical="center" wrapText="0"/>
    </xf>
    <xf borderId="0" fillId="10" fontId="25" numFmtId="0" xfId="0" applyAlignment="1" applyFont="1">
      <alignment horizontal="center" shrinkToFit="0" vertical="center" wrapText="0"/>
    </xf>
    <xf borderId="0" fillId="0" fontId="27" numFmtId="0" xfId="0" applyAlignment="1" applyFont="1">
      <alignment vertical="center"/>
    </xf>
    <xf borderId="9" fillId="0" fontId="28" numFmtId="0" xfId="0" applyAlignment="1" applyBorder="1" applyFont="1">
      <alignment horizontal="left" readingOrder="0" shrinkToFit="0" vertical="center" wrapText="1"/>
    </xf>
    <xf borderId="9" fillId="0" fontId="28" numFmtId="0" xfId="0" applyAlignment="1" applyBorder="1" applyFont="1">
      <alignment readingOrder="0" shrinkToFit="0" vertical="center" wrapText="1"/>
    </xf>
    <xf borderId="9" fillId="0" fontId="28" numFmtId="164" xfId="0" applyAlignment="1" applyBorder="1" applyFont="1" applyNumberFormat="1">
      <alignment horizontal="left" readingOrder="0" shrinkToFit="0" vertical="center" wrapText="1"/>
    </xf>
    <xf borderId="9" fillId="0" fontId="28" numFmtId="0" xfId="0" applyAlignment="1" applyBorder="1" applyFont="1">
      <alignment horizontal="center" readingOrder="0" shrinkToFit="0" vertical="center" wrapText="1"/>
    </xf>
    <xf borderId="9" fillId="0" fontId="28" numFmtId="9" xfId="0" applyAlignment="1" applyBorder="1" applyFont="1" applyNumberFormat="1">
      <alignment horizontal="center" readingOrder="0" shrinkToFit="0" vertical="center" wrapText="1"/>
    </xf>
    <xf borderId="10" fillId="0" fontId="29" numFmtId="0" xfId="0" applyAlignment="1" applyBorder="1" applyFont="1">
      <alignment horizontal="center" shrinkToFit="0" vertical="center" wrapText="0"/>
    </xf>
    <xf borderId="10" fillId="11" fontId="29" numFmtId="0" xfId="0" applyAlignment="1" applyBorder="1" applyFill="1" applyFont="1">
      <alignment horizontal="center" shrinkToFit="0" vertical="center" wrapText="0"/>
    </xf>
    <xf borderId="10" fillId="12" fontId="29" numFmtId="0" xfId="0" applyAlignment="1" applyBorder="1" applyFill="1" applyFont="1">
      <alignment horizontal="center" shrinkToFit="0" vertical="center" wrapText="0"/>
    </xf>
    <xf borderId="10" fillId="0" fontId="29" numFmtId="0" xfId="0" applyAlignment="1" applyBorder="1" applyFont="1">
      <alignment horizontal="center" shrinkToFit="0" vertical="center" wrapText="0"/>
    </xf>
    <xf borderId="11" fillId="0" fontId="29" numFmtId="0" xfId="0" applyAlignment="1" applyBorder="1" applyFont="1">
      <alignment horizontal="center" shrinkToFit="0" vertical="center" wrapText="0"/>
    </xf>
    <xf borderId="11" fillId="0" fontId="29" numFmtId="0" xfId="0" applyAlignment="1" applyBorder="1" applyFont="1">
      <alignment horizontal="center" shrinkToFit="0" vertical="center" wrapText="0"/>
    </xf>
    <xf borderId="11" fillId="12" fontId="29" numFmtId="0" xfId="0" applyAlignment="1" applyBorder="1" applyFont="1">
      <alignment horizontal="center" shrinkToFit="0" vertical="center" wrapText="0"/>
    </xf>
    <xf borderId="12" fillId="0" fontId="29" numFmtId="9" xfId="0" applyAlignment="1" applyBorder="1" applyFont="1" applyNumberFormat="1">
      <alignment horizontal="center" shrinkToFit="0" vertical="center" wrapText="0"/>
    </xf>
    <xf borderId="10" fillId="11" fontId="29" numFmtId="166" xfId="0" applyAlignment="1" applyBorder="1" applyFont="1" applyNumberFormat="1">
      <alignment horizontal="center" shrinkToFit="0" vertical="center" wrapText="0"/>
    </xf>
    <xf borderId="13" fillId="0" fontId="29" numFmtId="0" xfId="0" applyAlignment="1" applyBorder="1" applyFont="1">
      <alignment horizontal="center" shrinkToFit="0" vertical="center" wrapText="0"/>
    </xf>
    <xf borderId="13" fillId="12" fontId="29" numFmtId="0" xfId="0" applyAlignment="1" applyBorder="1" applyFont="1">
      <alignment horizontal="center" shrinkToFit="0" vertical="center" wrapText="0"/>
    </xf>
    <xf borderId="14" fillId="0" fontId="29" numFmtId="9" xfId="0" applyAlignment="1" applyBorder="1" applyFont="1" applyNumberFormat="1">
      <alignment horizontal="center" shrinkToFit="0" vertical="center" wrapText="0"/>
    </xf>
    <xf borderId="11" fillId="0" fontId="29" numFmtId="166" xfId="0" applyAlignment="1" applyBorder="1" applyFont="1" applyNumberFormat="1">
      <alignment horizontal="center" shrinkToFit="0" vertical="center" wrapText="0"/>
    </xf>
    <xf borderId="15" fillId="0" fontId="29" numFmtId="9" xfId="0" applyAlignment="1" applyBorder="1" applyFont="1" applyNumberFormat="1">
      <alignment horizontal="center" shrinkToFit="0" vertical="center" wrapText="0"/>
    </xf>
    <xf borderId="10" fillId="0" fontId="29" numFmtId="166" xfId="0" applyAlignment="1" applyBorder="1" applyFont="1" applyNumberFormat="1">
      <alignment horizontal="center" shrinkToFit="0" vertical="center" wrapText="0"/>
    </xf>
    <xf borderId="9" fillId="13" fontId="28" numFmtId="9" xfId="0" applyAlignment="1" applyBorder="1" applyFill="1" applyFont="1" applyNumberFormat="1">
      <alignment horizontal="center" readingOrder="0" shrinkToFit="0" vertical="center" wrapText="1"/>
    </xf>
    <xf borderId="11" fillId="8" fontId="29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stelle Yu" id="{dfc49d37-b5a1-43e1-ac89-be2d4e7d3536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7-14T05:01:56.00" personId="{dfc49d37-b5a1-43e1-ac89-be2d4e7d3536}" id="{1899a0ce-a9b1-4965-945e-13e90134f3a0}" done="0">
    <x18tc:text xml:space="preserve">데스크 리서치를 진행하면서 리서치 디자인을 해도 되나요?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27.75"/>
    <col customWidth="1" min="4" max="5" width="12.13"/>
    <col customWidth="1" min="6" max="7" width="12.5"/>
    <col customWidth="1" min="8" max="8" width="8.63"/>
    <col customWidth="1" min="10" max="44" width="4.13"/>
    <col customWidth="1" min="45" max="45" width="3.38"/>
  </cols>
  <sheetData>
    <row r="1" ht="21.0" customHeight="1">
      <c r="A1" s="1"/>
      <c r="B1" s="2"/>
      <c r="C1" s="3"/>
      <c r="D1" s="3"/>
      <c r="E1" s="3"/>
      <c r="F1" s="3"/>
      <c r="G1" s="4"/>
      <c r="H1" s="4"/>
      <c r="I1" s="5"/>
      <c r="J1" s="6"/>
      <c r="K1" s="7"/>
      <c r="L1" s="8"/>
      <c r="M1" s="9"/>
      <c r="N1" s="8"/>
      <c r="O1" s="10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1"/>
      <c r="AF1" s="11"/>
      <c r="AG1" s="11"/>
      <c r="AH1" s="11"/>
      <c r="AI1" s="11"/>
      <c r="AJ1" s="11"/>
      <c r="AK1" s="11"/>
      <c r="AL1" s="11"/>
      <c r="AM1" s="11"/>
      <c r="AN1" s="1"/>
      <c r="AO1" s="1"/>
      <c r="AP1" s="1"/>
      <c r="AQ1" s="1"/>
      <c r="AR1" s="1"/>
      <c r="AS1" s="1"/>
    </row>
    <row r="2" ht="21.0" customHeight="1">
      <c r="A2" s="1"/>
      <c r="B2" s="12" t="s">
        <v>0</v>
      </c>
      <c r="C2" s="13"/>
      <c r="D2" s="13"/>
      <c r="E2" s="13"/>
      <c r="F2" s="13"/>
      <c r="G2" s="13"/>
      <c r="H2" s="13"/>
      <c r="I2" s="14"/>
      <c r="J2" s="15"/>
      <c r="K2" s="13"/>
      <c r="L2" s="13"/>
      <c r="M2" s="13"/>
      <c r="N2" s="13"/>
      <c r="O2" s="13"/>
      <c r="P2" s="16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7"/>
      <c r="AJ2" s="17"/>
      <c r="AK2" s="17"/>
      <c r="AL2" s="17"/>
      <c r="AM2" s="17"/>
      <c r="AN2" s="1"/>
      <c r="AO2" s="1"/>
      <c r="AP2" s="1"/>
      <c r="AQ2" s="1"/>
      <c r="AR2" s="1"/>
      <c r="AS2" s="1"/>
    </row>
    <row r="3" ht="21.0" customHeight="1">
      <c r="A3" s="1"/>
      <c r="B3" s="18"/>
      <c r="C3" s="18"/>
      <c r="D3" s="19"/>
      <c r="E3" s="19"/>
      <c r="F3" s="19"/>
      <c r="G3" s="19"/>
      <c r="H3" s="19"/>
      <c r="I3" s="20"/>
      <c r="J3" s="21"/>
      <c r="K3" s="21"/>
      <c r="L3" s="21"/>
      <c r="M3" s="21"/>
      <c r="N3" s="22"/>
      <c r="O3" s="22"/>
      <c r="P3" s="2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1"/>
      <c r="AF3" s="11"/>
      <c r="AG3" s="11"/>
      <c r="AH3" s="11"/>
      <c r="AI3" s="11"/>
      <c r="AJ3" s="11"/>
      <c r="AK3" s="11"/>
      <c r="AL3" s="11"/>
      <c r="AM3" s="11"/>
      <c r="AN3" s="1"/>
      <c r="AO3" s="1"/>
      <c r="AP3" s="1"/>
      <c r="AQ3" s="1"/>
      <c r="AR3" s="1"/>
      <c r="AS3" s="1"/>
    </row>
    <row r="4" ht="21.0" customHeight="1">
      <c r="A4" s="1"/>
      <c r="B4" s="23" t="s">
        <v>1</v>
      </c>
      <c r="C4" s="24"/>
      <c r="D4" s="25" t="s">
        <v>2</v>
      </c>
      <c r="E4" s="24"/>
      <c r="F4" s="24"/>
      <c r="G4" s="24"/>
      <c r="H4" s="24"/>
      <c r="I4" s="26"/>
      <c r="J4" s="23" t="s">
        <v>3</v>
      </c>
      <c r="K4" s="24"/>
      <c r="L4" s="24"/>
      <c r="M4" s="24"/>
      <c r="N4" s="24"/>
      <c r="O4" s="24"/>
      <c r="P4" s="24"/>
      <c r="Q4" s="27" t="s">
        <v>4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8"/>
      <c r="AE4" s="11"/>
      <c r="AF4" s="11"/>
      <c r="AG4" s="11"/>
      <c r="AH4" s="11"/>
      <c r="AI4" s="11"/>
      <c r="AJ4" s="11"/>
      <c r="AK4" s="11"/>
      <c r="AL4" s="11"/>
      <c r="AM4" s="11"/>
      <c r="AN4" s="1"/>
      <c r="AO4" s="1"/>
      <c r="AP4" s="1"/>
      <c r="AQ4" s="1"/>
      <c r="AR4" s="1"/>
      <c r="AS4" s="1"/>
    </row>
    <row r="5" ht="21.0" customHeight="1">
      <c r="A5" s="1"/>
      <c r="B5" s="23" t="s">
        <v>5</v>
      </c>
      <c r="C5" s="23"/>
      <c r="D5" s="29" t="s">
        <v>6</v>
      </c>
      <c r="E5" s="29"/>
      <c r="F5" s="29"/>
      <c r="G5" s="29"/>
      <c r="H5" s="29"/>
      <c r="I5" s="30"/>
      <c r="J5" s="23" t="s">
        <v>7</v>
      </c>
      <c r="K5" s="24"/>
      <c r="L5" s="24"/>
      <c r="M5" s="24"/>
      <c r="N5" s="24"/>
      <c r="O5" s="24"/>
      <c r="P5" s="24"/>
      <c r="Q5" s="31">
        <v>46217.0</v>
      </c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32"/>
      <c r="AD5" s="28"/>
      <c r="AE5" s="1"/>
      <c r="AF5" s="1"/>
      <c r="AG5" s="1"/>
      <c r="AH5" s="1"/>
      <c r="AI5" s="1"/>
      <c r="AJ5" s="1"/>
      <c r="AK5" s="1"/>
      <c r="AL5" s="1"/>
      <c r="AM5" s="33"/>
      <c r="AN5" s="1"/>
      <c r="AO5" s="1"/>
      <c r="AP5" s="1"/>
      <c r="AQ5" s="1"/>
      <c r="AR5" s="1"/>
      <c r="AS5" s="1"/>
    </row>
    <row r="6" ht="21.0" customHeight="1">
      <c r="A6" s="1"/>
      <c r="B6" s="23" t="s">
        <v>8</v>
      </c>
      <c r="C6" s="24"/>
      <c r="D6" s="29" t="s">
        <v>9</v>
      </c>
      <c r="E6" s="24"/>
      <c r="F6" s="24"/>
      <c r="G6" s="24"/>
      <c r="H6" s="24"/>
      <c r="I6" s="30"/>
      <c r="AD6" s="28"/>
      <c r="AE6" s="1"/>
      <c r="AF6" s="1"/>
      <c r="AG6" s="1"/>
      <c r="AH6" s="1"/>
      <c r="AI6" s="1"/>
      <c r="AJ6" s="1"/>
      <c r="AK6" s="1"/>
      <c r="AL6" s="1"/>
      <c r="AM6" s="33"/>
      <c r="AN6" s="1"/>
      <c r="AO6" s="1"/>
      <c r="AP6" s="1"/>
      <c r="AQ6" s="1"/>
      <c r="AR6" s="1"/>
      <c r="AS6" s="1"/>
    </row>
    <row r="7" ht="21.0" customHeight="1">
      <c r="A7" s="34"/>
      <c r="B7" s="35"/>
      <c r="C7" s="35"/>
      <c r="D7" s="35"/>
      <c r="E7" s="35"/>
      <c r="F7" s="35"/>
      <c r="G7" s="35"/>
      <c r="H7" s="36"/>
      <c r="I7" s="37"/>
      <c r="J7" s="35"/>
      <c r="K7" s="35"/>
      <c r="L7" s="35"/>
      <c r="M7" s="35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</row>
    <row r="8" ht="21.0" customHeight="1">
      <c r="A8" s="34"/>
      <c r="B8" s="35"/>
      <c r="C8" s="35"/>
      <c r="D8" s="35"/>
      <c r="E8" s="35"/>
      <c r="F8" s="35"/>
      <c r="G8" s="35"/>
      <c r="H8" s="36"/>
      <c r="I8" s="37"/>
      <c r="J8" s="35"/>
      <c r="K8" s="35"/>
      <c r="L8" s="35"/>
      <c r="M8" s="35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</row>
    <row r="9" ht="17.25" customHeight="1">
      <c r="A9" s="38"/>
      <c r="B9" s="39" t="s">
        <v>10</v>
      </c>
      <c r="C9" s="39" t="s">
        <v>11</v>
      </c>
      <c r="D9" s="39" t="s">
        <v>12</v>
      </c>
      <c r="E9" s="39"/>
      <c r="F9" s="39" t="s">
        <v>13</v>
      </c>
      <c r="G9" s="39" t="s">
        <v>14</v>
      </c>
      <c r="H9" s="39" t="s">
        <v>15</v>
      </c>
      <c r="I9" s="40" t="s">
        <v>16</v>
      </c>
      <c r="J9" s="41" t="s">
        <v>17</v>
      </c>
      <c r="O9" s="42" t="s">
        <v>18</v>
      </c>
      <c r="T9" s="43" t="s">
        <v>19</v>
      </c>
      <c r="AA9" s="44" t="s">
        <v>20</v>
      </c>
      <c r="AD9" s="45" t="s">
        <v>21</v>
      </c>
      <c r="AI9" s="46" t="s">
        <v>22</v>
      </c>
      <c r="AN9" s="47" t="s">
        <v>23</v>
      </c>
      <c r="AS9" s="34"/>
    </row>
    <row r="10" ht="17.25" customHeight="1">
      <c r="A10" s="48"/>
      <c r="E10" s="39" t="s">
        <v>24</v>
      </c>
      <c r="J10" s="49" t="s">
        <v>25</v>
      </c>
      <c r="K10" s="50"/>
      <c r="L10" s="50"/>
      <c r="M10" s="50"/>
      <c r="N10" s="51"/>
      <c r="O10" s="49" t="s">
        <v>26</v>
      </c>
      <c r="P10" s="50"/>
      <c r="Q10" s="50"/>
      <c r="R10" s="50"/>
      <c r="S10" s="51"/>
      <c r="T10" s="49" t="s">
        <v>27</v>
      </c>
      <c r="U10" s="50"/>
      <c r="V10" s="50"/>
      <c r="W10" s="50"/>
      <c r="X10" s="51"/>
      <c r="Y10" s="49" t="s">
        <v>28</v>
      </c>
      <c r="Z10" s="50"/>
      <c r="AA10" s="50"/>
      <c r="AB10" s="50"/>
      <c r="AC10" s="51"/>
      <c r="AD10" s="49" t="s">
        <v>29</v>
      </c>
      <c r="AE10" s="50"/>
      <c r="AF10" s="50"/>
      <c r="AG10" s="50"/>
      <c r="AH10" s="51"/>
      <c r="AI10" s="49" t="s">
        <v>30</v>
      </c>
      <c r="AJ10" s="50"/>
      <c r="AK10" s="50"/>
      <c r="AL10" s="50"/>
      <c r="AM10" s="51"/>
      <c r="AN10" s="49" t="s">
        <v>31</v>
      </c>
      <c r="AO10" s="50"/>
      <c r="AP10" s="50"/>
      <c r="AQ10" s="50"/>
      <c r="AR10" s="51"/>
      <c r="AS10" s="48"/>
    </row>
    <row r="11" ht="17.25" customHeight="1">
      <c r="A11" s="52"/>
      <c r="E11" s="39"/>
      <c r="J11" s="53">
        <v>46216.0</v>
      </c>
      <c r="K11" s="53">
        <v>46217.0</v>
      </c>
      <c r="L11" s="53">
        <v>46218.0</v>
      </c>
      <c r="M11" s="53">
        <v>46219.0</v>
      </c>
      <c r="N11" s="53">
        <v>46220.0</v>
      </c>
      <c r="O11" s="53">
        <v>46223.0</v>
      </c>
      <c r="P11" s="53">
        <v>46224.0</v>
      </c>
      <c r="Q11" s="53">
        <v>46225.0</v>
      </c>
      <c r="R11" s="53">
        <v>46226.0</v>
      </c>
      <c r="S11" s="53">
        <v>46227.0</v>
      </c>
      <c r="T11" s="53">
        <v>46230.0</v>
      </c>
      <c r="U11" s="53">
        <v>46231.0</v>
      </c>
      <c r="V11" s="53">
        <v>46232.0</v>
      </c>
      <c r="W11" s="53">
        <v>46233.0</v>
      </c>
      <c r="X11" s="53">
        <v>46234.0</v>
      </c>
      <c r="Y11" s="53">
        <v>46237.0</v>
      </c>
      <c r="Z11" s="53">
        <v>46238.0</v>
      </c>
      <c r="AA11" s="53">
        <v>46239.0</v>
      </c>
      <c r="AB11" s="53">
        <v>46240.0</v>
      </c>
      <c r="AC11" s="53">
        <v>46241.0</v>
      </c>
      <c r="AD11" s="53">
        <v>46244.0</v>
      </c>
      <c r="AE11" s="53">
        <v>46245.0</v>
      </c>
      <c r="AF11" s="53">
        <v>46246.0</v>
      </c>
      <c r="AG11" s="53">
        <v>46247.0</v>
      </c>
      <c r="AH11" s="53">
        <v>46248.0</v>
      </c>
      <c r="AI11" s="53">
        <v>46251.0</v>
      </c>
      <c r="AJ11" s="53">
        <v>46252.0</v>
      </c>
      <c r="AK11" s="53">
        <v>46253.0</v>
      </c>
      <c r="AL11" s="53">
        <v>46254.0</v>
      </c>
      <c r="AM11" s="53">
        <v>46255.0</v>
      </c>
      <c r="AN11" s="53">
        <v>46258.0</v>
      </c>
      <c r="AO11" s="53">
        <v>46259.0</v>
      </c>
      <c r="AP11" s="53">
        <v>46260.0</v>
      </c>
      <c r="AQ11" s="53">
        <v>46261.0</v>
      </c>
      <c r="AR11" s="53">
        <v>46262.0</v>
      </c>
      <c r="AS11" s="52"/>
    </row>
    <row r="12" ht="17.25" customHeight="1">
      <c r="A12" s="52"/>
      <c r="E12" s="39"/>
      <c r="J12" s="54" t="s">
        <v>32</v>
      </c>
      <c r="K12" s="54" t="s">
        <v>33</v>
      </c>
      <c r="L12" s="54" t="s">
        <v>34</v>
      </c>
      <c r="M12" s="54" t="s">
        <v>35</v>
      </c>
      <c r="N12" s="54" t="s">
        <v>36</v>
      </c>
      <c r="O12" s="54" t="s">
        <v>32</v>
      </c>
      <c r="P12" s="54" t="s">
        <v>33</v>
      </c>
      <c r="Q12" s="54" t="s">
        <v>34</v>
      </c>
      <c r="R12" s="54" t="s">
        <v>35</v>
      </c>
      <c r="S12" s="54" t="s">
        <v>36</v>
      </c>
      <c r="T12" s="54" t="s">
        <v>32</v>
      </c>
      <c r="U12" s="54" t="s">
        <v>33</v>
      </c>
      <c r="V12" s="54" t="s">
        <v>34</v>
      </c>
      <c r="W12" s="54" t="s">
        <v>35</v>
      </c>
      <c r="X12" s="54" t="s">
        <v>36</v>
      </c>
      <c r="Y12" s="54" t="s">
        <v>32</v>
      </c>
      <c r="Z12" s="54" t="s">
        <v>33</v>
      </c>
      <c r="AA12" s="54" t="s">
        <v>34</v>
      </c>
      <c r="AB12" s="54" t="s">
        <v>35</v>
      </c>
      <c r="AC12" s="54" t="s">
        <v>36</v>
      </c>
      <c r="AD12" s="54" t="s">
        <v>32</v>
      </c>
      <c r="AE12" s="54" t="s">
        <v>33</v>
      </c>
      <c r="AF12" s="54" t="s">
        <v>34</v>
      </c>
      <c r="AG12" s="54" t="s">
        <v>35</v>
      </c>
      <c r="AH12" s="54" t="s">
        <v>36</v>
      </c>
      <c r="AI12" s="54" t="s">
        <v>32</v>
      </c>
      <c r="AJ12" s="54" t="s">
        <v>33</v>
      </c>
      <c r="AK12" s="54" t="s">
        <v>34</v>
      </c>
      <c r="AL12" s="54" t="s">
        <v>35</v>
      </c>
      <c r="AM12" s="54" t="s">
        <v>36</v>
      </c>
      <c r="AN12" s="54" t="s">
        <v>32</v>
      </c>
      <c r="AO12" s="54" t="s">
        <v>33</v>
      </c>
      <c r="AP12" s="54" t="s">
        <v>34</v>
      </c>
      <c r="AQ12" s="54" t="s">
        <v>35</v>
      </c>
      <c r="AR12" s="54" t="s">
        <v>36</v>
      </c>
      <c r="AS12" s="52"/>
    </row>
    <row r="13" ht="21.0" customHeight="1">
      <c r="A13" s="34"/>
      <c r="B13" s="55">
        <v>1.0</v>
      </c>
      <c r="C13" s="56" t="s">
        <v>37</v>
      </c>
      <c r="D13" s="57"/>
      <c r="E13" s="58"/>
      <c r="F13" s="59">
        <v>46217.0</v>
      </c>
      <c r="G13" s="59">
        <v>46220.0</v>
      </c>
      <c r="H13" s="57"/>
      <c r="I13" s="60"/>
      <c r="J13" s="61"/>
      <c r="K13" s="62"/>
      <c r="L13" s="63"/>
      <c r="M13" s="63"/>
      <c r="N13" s="64"/>
      <c r="O13" s="61"/>
      <c r="P13" s="64"/>
      <c r="Q13" s="61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34"/>
    </row>
    <row r="14" ht="17.25" customHeight="1" outlineLevel="1">
      <c r="A14" s="65"/>
      <c r="B14" s="66">
        <v>1.1</v>
      </c>
      <c r="C14" s="67" t="s">
        <v>38</v>
      </c>
      <c r="D14" s="67" t="s">
        <v>6</v>
      </c>
      <c r="E14" s="67"/>
      <c r="F14" s="68">
        <v>46217.0</v>
      </c>
      <c r="G14" s="68">
        <v>46219.0</v>
      </c>
      <c r="H14" s="69">
        <f t="shared" ref="H14:H18" si="1">DAYS360(F14,G14)</f>
        <v>2</v>
      </c>
      <c r="I14" s="70">
        <v>1.0</v>
      </c>
      <c r="J14" s="71"/>
      <c r="K14" s="72"/>
      <c r="L14" s="72"/>
      <c r="M14" s="72"/>
      <c r="N14" s="71"/>
      <c r="O14" s="73"/>
      <c r="P14" s="73"/>
      <c r="Q14" s="73"/>
      <c r="R14" s="73"/>
      <c r="S14" s="73"/>
      <c r="T14" s="74"/>
      <c r="U14" s="74"/>
      <c r="V14" s="74"/>
      <c r="W14" s="74"/>
      <c r="X14" s="74"/>
      <c r="Y14" s="73"/>
      <c r="Z14" s="73"/>
      <c r="AA14" s="73"/>
      <c r="AB14" s="73"/>
      <c r="AC14" s="73"/>
      <c r="AD14" s="74"/>
      <c r="AE14" s="74"/>
      <c r="AF14" s="74"/>
      <c r="AG14" s="74"/>
      <c r="AH14" s="74"/>
      <c r="AI14" s="73"/>
      <c r="AJ14" s="73"/>
      <c r="AK14" s="73"/>
      <c r="AL14" s="73"/>
      <c r="AM14" s="73"/>
      <c r="AN14" s="74"/>
      <c r="AO14" s="74"/>
      <c r="AP14" s="74"/>
      <c r="AQ14" s="74"/>
      <c r="AR14" s="74"/>
      <c r="AS14" s="65"/>
    </row>
    <row r="15" ht="17.25" customHeight="1" outlineLevel="1">
      <c r="A15" s="65"/>
      <c r="B15" s="66" t="s">
        <v>39</v>
      </c>
      <c r="C15" s="67" t="s">
        <v>40</v>
      </c>
      <c r="D15" s="67" t="s">
        <v>6</v>
      </c>
      <c r="E15" s="67"/>
      <c r="F15" s="68">
        <v>46216.0</v>
      </c>
      <c r="G15" s="68">
        <v>46217.0</v>
      </c>
      <c r="H15" s="69">
        <f t="shared" si="1"/>
        <v>1</v>
      </c>
      <c r="I15" s="70">
        <v>1.0</v>
      </c>
      <c r="J15" s="72"/>
      <c r="K15" s="72"/>
      <c r="L15" s="75"/>
      <c r="M15" s="75"/>
      <c r="N15" s="76"/>
      <c r="O15" s="77"/>
      <c r="P15" s="77"/>
      <c r="Q15" s="77"/>
      <c r="R15" s="77"/>
      <c r="S15" s="77"/>
      <c r="T15" s="76"/>
      <c r="U15" s="76"/>
      <c r="V15" s="76"/>
      <c r="W15" s="76"/>
      <c r="X15" s="76"/>
      <c r="Y15" s="77"/>
      <c r="Z15" s="77"/>
      <c r="AA15" s="77"/>
      <c r="AB15" s="77"/>
      <c r="AC15" s="77"/>
      <c r="AD15" s="76"/>
      <c r="AE15" s="76"/>
      <c r="AF15" s="76"/>
      <c r="AG15" s="76"/>
      <c r="AH15" s="76"/>
      <c r="AI15" s="77"/>
      <c r="AJ15" s="77"/>
      <c r="AK15" s="77"/>
      <c r="AL15" s="77"/>
      <c r="AM15" s="77"/>
      <c r="AN15" s="76"/>
      <c r="AO15" s="76"/>
      <c r="AP15" s="76"/>
      <c r="AQ15" s="76"/>
      <c r="AR15" s="76"/>
      <c r="AS15" s="65"/>
    </row>
    <row r="16" ht="17.25" customHeight="1" outlineLevel="1">
      <c r="A16" s="65"/>
      <c r="B16" s="66">
        <v>1.2</v>
      </c>
      <c r="C16" s="67" t="s">
        <v>41</v>
      </c>
      <c r="D16" s="67" t="s">
        <v>6</v>
      </c>
      <c r="E16" s="67"/>
      <c r="F16" s="68">
        <v>46217.0</v>
      </c>
      <c r="G16" s="68">
        <v>46219.0</v>
      </c>
      <c r="H16" s="69">
        <f t="shared" si="1"/>
        <v>2</v>
      </c>
      <c r="I16" s="70">
        <v>0.0</v>
      </c>
      <c r="J16" s="78"/>
      <c r="K16" s="79"/>
      <c r="L16" s="72"/>
      <c r="M16" s="72"/>
      <c r="N16" s="80"/>
      <c r="O16" s="81"/>
      <c r="P16" s="81"/>
      <c r="Q16" s="81"/>
      <c r="R16" s="81"/>
      <c r="S16" s="81"/>
      <c r="T16" s="80"/>
      <c r="U16" s="80"/>
      <c r="V16" s="80"/>
      <c r="W16" s="80"/>
      <c r="X16" s="80"/>
      <c r="Y16" s="81"/>
      <c r="Z16" s="81"/>
      <c r="AA16" s="81"/>
      <c r="AB16" s="81"/>
      <c r="AC16" s="81"/>
      <c r="AD16" s="80"/>
      <c r="AE16" s="80"/>
      <c r="AF16" s="80"/>
      <c r="AG16" s="80"/>
      <c r="AH16" s="80"/>
      <c r="AI16" s="81"/>
      <c r="AJ16" s="81"/>
      <c r="AK16" s="81"/>
      <c r="AL16" s="81"/>
      <c r="AM16" s="81"/>
      <c r="AN16" s="80"/>
      <c r="AO16" s="80"/>
      <c r="AP16" s="80"/>
      <c r="AQ16" s="80"/>
      <c r="AR16" s="80"/>
      <c r="AS16" s="65"/>
    </row>
    <row r="17" ht="17.25" customHeight="1" outlineLevel="1">
      <c r="A17" s="65"/>
      <c r="B17" s="66" t="s">
        <v>42</v>
      </c>
      <c r="C17" s="67" t="s">
        <v>43</v>
      </c>
      <c r="D17" s="67" t="s">
        <v>6</v>
      </c>
      <c r="E17" s="67"/>
      <c r="F17" s="68">
        <v>46219.0</v>
      </c>
      <c r="G17" s="68">
        <v>46220.0</v>
      </c>
      <c r="H17" s="69">
        <f t="shared" si="1"/>
        <v>1</v>
      </c>
      <c r="I17" s="70">
        <v>0.3</v>
      </c>
      <c r="J17" s="82"/>
      <c r="K17" s="83"/>
      <c r="L17" s="75"/>
      <c r="M17" s="72"/>
      <c r="N17" s="72"/>
      <c r="O17" s="77"/>
      <c r="P17" s="77"/>
      <c r="Q17" s="77"/>
      <c r="R17" s="77"/>
      <c r="S17" s="77"/>
      <c r="T17" s="74"/>
      <c r="U17" s="76"/>
      <c r="V17" s="76"/>
      <c r="W17" s="76"/>
      <c r="X17" s="76"/>
      <c r="Y17" s="77"/>
      <c r="Z17" s="77"/>
      <c r="AA17" s="77"/>
      <c r="AB17" s="77"/>
      <c r="AC17" s="77"/>
      <c r="AD17" s="76"/>
      <c r="AE17" s="76"/>
      <c r="AF17" s="76"/>
      <c r="AG17" s="76"/>
      <c r="AH17" s="76"/>
      <c r="AI17" s="77"/>
      <c r="AJ17" s="77"/>
      <c r="AK17" s="77"/>
      <c r="AL17" s="77"/>
      <c r="AM17" s="77"/>
      <c r="AN17" s="76"/>
      <c r="AO17" s="76"/>
      <c r="AP17" s="76"/>
      <c r="AQ17" s="76"/>
      <c r="AR17" s="76"/>
      <c r="AS17" s="65"/>
    </row>
    <row r="18" ht="17.25" customHeight="1" outlineLevel="1">
      <c r="A18" s="65"/>
      <c r="B18" s="66" t="s">
        <v>44</v>
      </c>
      <c r="C18" s="67" t="s">
        <v>45</v>
      </c>
      <c r="D18" s="67" t="s">
        <v>6</v>
      </c>
      <c r="E18" s="67"/>
      <c r="F18" s="68">
        <v>46220.0</v>
      </c>
      <c r="G18" s="68">
        <v>46220.0</v>
      </c>
      <c r="H18" s="69">
        <f t="shared" si="1"/>
        <v>0</v>
      </c>
      <c r="I18" s="70">
        <v>1.0</v>
      </c>
      <c r="J18" s="82"/>
      <c r="K18" s="83"/>
      <c r="L18" s="75"/>
      <c r="M18" s="75"/>
      <c r="N18" s="72"/>
      <c r="O18" s="77"/>
      <c r="P18" s="77"/>
      <c r="Q18" s="77"/>
      <c r="R18" s="77"/>
      <c r="S18" s="77"/>
      <c r="T18" s="74"/>
      <c r="U18" s="76"/>
      <c r="V18" s="76"/>
      <c r="W18" s="76"/>
      <c r="X18" s="76"/>
      <c r="Y18" s="77"/>
      <c r="Z18" s="77"/>
      <c r="AA18" s="77"/>
      <c r="AB18" s="77"/>
      <c r="AC18" s="77"/>
      <c r="AD18" s="76"/>
      <c r="AE18" s="76"/>
      <c r="AF18" s="76"/>
      <c r="AG18" s="76"/>
      <c r="AH18" s="76"/>
      <c r="AI18" s="77"/>
      <c r="AJ18" s="77"/>
      <c r="AK18" s="77"/>
      <c r="AL18" s="77"/>
      <c r="AM18" s="77"/>
      <c r="AN18" s="76"/>
      <c r="AO18" s="76"/>
      <c r="AP18" s="76"/>
      <c r="AQ18" s="76"/>
      <c r="AR18" s="76"/>
      <c r="AS18" s="65"/>
    </row>
    <row r="19" ht="21.0" customHeight="1">
      <c r="A19" s="34"/>
      <c r="B19" s="55">
        <v>2.0</v>
      </c>
      <c r="C19" s="56" t="s">
        <v>46</v>
      </c>
      <c r="D19" s="57"/>
      <c r="E19" s="58"/>
      <c r="F19" s="59">
        <v>46217.0</v>
      </c>
      <c r="G19" s="59">
        <v>46228.0</v>
      </c>
      <c r="H19" s="57"/>
      <c r="I19" s="60"/>
      <c r="J19" s="61"/>
      <c r="K19" s="62"/>
      <c r="L19" s="63"/>
      <c r="M19" s="63"/>
      <c r="N19" s="64"/>
      <c r="O19" s="61"/>
      <c r="P19" s="64"/>
      <c r="Q19" s="61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34"/>
    </row>
    <row r="20" ht="17.25" customHeight="1" outlineLevel="1">
      <c r="A20" s="65"/>
      <c r="B20" s="66">
        <v>2.1</v>
      </c>
      <c r="C20" s="67" t="s">
        <v>47</v>
      </c>
      <c r="D20" s="67" t="s">
        <v>6</v>
      </c>
      <c r="E20" s="67"/>
      <c r="F20" s="68">
        <v>46217.0</v>
      </c>
      <c r="G20" s="68">
        <v>46224.0</v>
      </c>
      <c r="H20" s="69">
        <f t="shared" ref="H20:H25" si="2">DAYS360(F20,G20)</f>
        <v>7</v>
      </c>
      <c r="I20" s="70">
        <v>0.0</v>
      </c>
      <c r="J20" s="82"/>
      <c r="K20" s="83"/>
      <c r="L20" s="72"/>
      <c r="M20" s="72"/>
      <c r="N20" s="72"/>
      <c r="O20" s="72"/>
      <c r="P20" s="72"/>
      <c r="Q20" s="77"/>
      <c r="R20" s="77"/>
      <c r="S20" s="77"/>
      <c r="T20" s="76"/>
      <c r="U20" s="76"/>
      <c r="V20" s="76"/>
      <c r="W20" s="76"/>
      <c r="X20" s="76"/>
      <c r="Y20" s="73"/>
      <c r="Z20" s="73"/>
      <c r="AA20" s="73"/>
      <c r="AB20" s="73"/>
      <c r="AC20" s="73"/>
      <c r="AD20" s="76"/>
      <c r="AE20" s="76"/>
      <c r="AF20" s="76"/>
      <c r="AG20" s="76"/>
      <c r="AH20" s="76"/>
      <c r="AI20" s="73"/>
      <c r="AJ20" s="73"/>
      <c r="AK20" s="73"/>
      <c r="AL20" s="73"/>
      <c r="AM20" s="73"/>
      <c r="AN20" s="76"/>
      <c r="AO20" s="76"/>
      <c r="AP20" s="76"/>
      <c r="AQ20" s="76"/>
      <c r="AR20" s="76"/>
      <c r="AS20" s="65"/>
    </row>
    <row r="21" ht="17.25" customHeight="1" outlineLevel="1">
      <c r="A21" s="65"/>
      <c r="B21" s="66" t="s">
        <v>48</v>
      </c>
      <c r="C21" s="67" t="s">
        <v>49</v>
      </c>
      <c r="D21" s="67" t="s">
        <v>6</v>
      </c>
      <c r="E21" s="67" t="s">
        <v>9</v>
      </c>
      <c r="F21" s="68">
        <v>46223.0</v>
      </c>
      <c r="G21" s="68">
        <v>46224.0</v>
      </c>
      <c r="H21" s="69">
        <f t="shared" si="2"/>
        <v>1</v>
      </c>
      <c r="I21" s="70">
        <v>0.0</v>
      </c>
      <c r="J21" s="82"/>
      <c r="K21" s="83"/>
      <c r="L21" s="74"/>
      <c r="M21" s="74"/>
      <c r="N21" s="74"/>
      <c r="O21" s="72"/>
      <c r="P21" s="72"/>
      <c r="Q21" s="77"/>
      <c r="R21" s="77"/>
      <c r="S21" s="77"/>
      <c r="T21" s="76"/>
      <c r="U21" s="76"/>
      <c r="V21" s="76"/>
      <c r="W21" s="76"/>
      <c r="X21" s="76"/>
      <c r="Y21" s="77"/>
      <c r="Z21" s="77"/>
      <c r="AA21" s="77"/>
      <c r="AB21" s="77"/>
      <c r="AC21" s="77"/>
      <c r="AD21" s="76"/>
      <c r="AE21" s="76"/>
      <c r="AF21" s="76"/>
      <c r="AG21" s="76"/>
      <c r="AH21" s="76"/>
      <c r="AI21" s="77"/>
      <c r="AJ21" s="77"/>
      <c r="AK21" s="77"/>
      <c r="AL21" s="77"/>
      <c r="AM21" s="77"/>
      <c r="AN21" s="76"/>
      <c r="AO21" s="76"/>
      <c r="AP21" s="76"/>
      <c r="AQ21" s="76"/>
      <c r="AR21" s="76"/>
      <c r="AS21" s="65"/>
    </row>
    <row r="22" ht="17.25" customHeight="1" outlineLevel="1">
      <c r="A22" s="65"/>
      <c r="B22" s="66">
        <v>2.2</v>
      </c>
      <c r="C22" s="67" t="s">
        <v>50</v>
      </c>
      <c r="D22" s="67" t="s">
        <v>6</v>
      </c>
      <c r="E22" s="67"/>
      <c r="F22" s="68">
        <v>46225.0</v>
      </c>
      <c r="G22" s="68">
        <v>46226.0</v>
      </c>
      <c r="H22" s="69">
        <f t="shared" si="2"/>
        <v>1</v>
      </c>
      <c r="I22" s="70">
        <v>0.0</v>
      </c>
      <c r="J22" s="82"/>
      <c r="K22" s="83"/>
      <c r="L22" s="75"/>
      <c r="M22" s="75"/>
      <c r="N22" s="76"/>
      <c r="O22" s="77"/>
      <c r="P22" s="77"/>
      <c r="Q22" s="72"/>
      <c r="R22" s="72"/>
      <c r="S22" s="77"/>
      <c r="T22" s="74"/>
      <c r="U22" s="76"/>
      <c r="V22" s="76"/>
      <c r="W22" s="76"/>
      <c r="X22" s="76"/>
      <c r="Y22" s="81"/>
      <c r="Z22" s="81"/>
      <c r="AA22" s="81"/>
      <c r="AB22" s="81"/>
      <c r="AC22" s="81"/>
      <c r="AD22" s="76"/>
      <c r="AE22" s="76"/>
      <c r="AF22" s="76"/>
      <c r="AG22" s="76"/>
      <c r="AH22" s="76"/>
      <c r="AI22" s="81"/>
      <c r="AJ22" s="81"/>
      <c r="AK22" s="81"/>
      <c r="AL22" s="81"/>
      <c r="AM22" s="81"/>
      <c r="AN22" s="76"/>
      <c r="AO22" s="76"/>
      <c r="AP22" s="76"/>
      <c r="AQ22" s="76"/>
      <c r="AR22" s="76"/>
      <c r="AS22" s="65"/>
    </row>
    <row r="23" ht="17.25" customHeight="1" outlineLevel="1">
      <c r="A23" s="65"/>
      <c r="B23" s="66">
        <v>2.3</v>
      </c>
      <c r="C23" s="67" t="s">
        <v>51</v>
      </c>
      <c r="D23" s="67" t="s">
        <v>6</v>
      </c>
      <c r="E23" s="67"/>
      <c r="F23" s="68">
        <v>46226.0</v>
      </c>
      <c r="G23" s="68">
        <v>46227.0</v>
      </c>
      <c r="H23" s="69">
        <f t="shared" si="2"/>
        <v>1</v>
      </c>
      <c r="I23" s="70">
        <v>0.0</v>
      </c>
      <c r="J23" s="82"/>
      <c r="K23" s="83"/>
      <c r="L23" s="76"/>
      <c r="M23" s="76"/>
      <c r="N23" s="76"/>
      <c r="O23" s="77"/>
      <c r="P23" s="77"/>
      <c r="Q23" s="77"/>
      <c r="R23" s="72"/>
      <c r="S23" s="72"/>
      <c r="T23" s="76"/>
      <c r="U23" s="76"/>
      <c r="V23" s="76"/>
      <c r="W23" s="76"/>
      <c r="X23" s="76"/>
      <c r="Y23" s="77"/>
      <c r="Z23" s="77"/>
      <c r="AA23" s="77"/>
      <c r="AB23" s="77"/>
      <c r="AC23" s="77"/>
      <c r="AD23" s="76"/>
      <c r="AE23" s="76"/>
      <c r="AF23" s="76"/>
      <c r="AG23" s="76"/>
      <c r="AH23" s="76"/>
      <c r="AI23" s="77"/>
      <c r="AJ23" s="77"/>
      <c r="AK23" s="77"/>
      <c r="AL23" s="77"/>
      <c r="AM23" s="77"/>
      <c r="AN23" s="76"/>
      <c r="AO23" s="76"/>
      <c r="AP23" s="76"/>
      <c r="AQ23" s="76"/>
      <c r="AR23" s="76"/>
      <c r="AS23" s="65"/>
    </row>
    <row r="24" ht="17.25" customHeight="1" outlineLevel="1">
      <c r="A24" s="65"/>
      <c r="B24" s="66">
        <v>2.4</v>
      </c>
      <c r="C24" s="67" t="s">
        <v>52</v>
      </c>
      <c r="D24" s="67" t="s">
        <v>6</v>
      </c>
      <c r="E24" s="67"/>
      <c r="F24" s="68">
        <v>46227.0</v>
      </c>
      <c r="G24" s="68">
        <v>46227.0</v>
      </c>
      <c r="H24" s="69">
        <f t="shared" si="2"/>
        <v>0</v>
      </c>
      <c r="I24" s="70">
        <v>0.0</v>
      </c>
      <c r="J24" s="84"/>
      <c r="K24" s="85"/>
      <c r="L24" s="71"/>
      <c r="M24" s="71"/>
      <c r="N24" s="71"/>
      <c r="O24" s="77"/>
      <c r="P24" s="77"/>
      <c r="Q24" s="77"/>
      <c r="R24" s="77"/>
      <c r="S24" s="72"/>
      <c r="T24" s="74"/>
      <c r="U24" s="74"/>
      <c r="V24" s="74"/>
      <c r="W24" s="74"/>
      <c r="X24" s="76"/>
      <c r="Y24" s="77"/>
      <c r="Z24" s="77"/>
      <c r="AA24" s="77"/>
      <c r="AB24" s="77"/>
      <c r="AC24" s="77"/>
      <c r="AD24" s="74"/>
      <c r="AE24" s="74"/>
      <c r="AF24" s="74"/>
      <c r="AG24" s="74"/>
      <c r="AH24" s="74"/>
      <c r="AI24" s="77"/>
      <c r="AJ24" s="77"/>
      <c r="AK24" s="77"/>
      <c r="AL24" s="77"/>
      <c r="AM24" s="77"/>
      <c r="AN24" s="74"/>
      <c r="AO24" s="74"/>
      <c r="AP24" s="74"/>
      <c r="AQ24" s="74"/>
      <c r="AR24" s="74"/>
      <c r="AS24" s="65"/>
    </row>
    <row r="25" ht="17.25" customHeight="1" outlineLevel="1">
      <c r="A25" s="65"/>
      <c r="B25" s="66">
        <v>2.5</v>
      </c>
      <c r="C25" s="67" t="s">
        <v>53</v>
      </c>
      <c r="D25" s="67" t="s">
        <v>6</v>
      </c>
      <c r="E25" s="67"/>
      <c r="F25" s="68">
        <v>46227.0</v>
      </c>
      <c r="G25" s="68">
        <v>46228.0</v>
      </c>
      <c r="H25" s="69">
        <f t="shared" si="2"/>
        <v>1</v>
      </c>
      <c r="I25" s="70">
        <v>0.0</v>
      </c>
      <c r="J25" s="82"/>
      <c r="K25" s="83"/>
      <c r="L25" s="75"/>
      <c r="M25" s="75"/>
      <c r="N25" s="76"/>
      <c r="O25" s="77"/>
      <c r="P25" s="77"/>
      <c r="Q25" s="77"/>
      <c r="R25" s="77"/>
      <c r="S25" s="72"/>
      <c r="T25" s="76"/>
      <c r="U25" s="76"/>
      <c r="V25" s="76"/>
      <c r="W25" s="76"/>
      <c r="X25" s="76"/>
      <c r="Y25" s="77"/>
      <c r="Z25" s="77"/>
      <c r="AA25" s="77"/>
      <c r="AB25" s="77"/>
      <c r="AC25" s="77"/>
      <c r="AD25" s="76"/>
      <c r="AE25" s="76"/>
      <c r="AF25" s="76"/>
      <c r="AG25" s="76"/>
      <c r="AH25" s="76"/>
      <c r="AI25" s="77"/>
      <c r="AJ25" s="77"/>
      <c r="AK25" s="77"/>
      <c r="AL25" s="77"/>
      <c r="AM25" s="77"/>
      <c r="AN25" s="76"/>
      <c r="AO25" s="76"/>
      <c r="AP25" s="76"/>
      <c r="AQ25" s="76"/>
      <c r="AR25" s="76"/>
      <c r="AS25" s="65"/>
    </row>
    <row r="26" ht="21.0" customHeight="1">
      <c r="A26" s="34"/>
      <c r="B26" s="55">
        <v>3.0</v>
      </c>
      <c r="C26" s="56" t="s">
        <v>54</v>
      </c>
      <c r="D26" s="57"/>
      <c r="E26" s="58"/>
      <c r="F26" s="59">
        <v>46230.0</v>
      </c>
      <c r="G26" s="59">
        <v>46239.0</v>
      </c>
      <c r="H26" s="57"/>
      <c r="I26" s="60"/>
      <c r="J26" s="61"/>
      <c r="K26" s="62"/>
      <c r="L26" s="63"/>
      <c r="M26" s="63"/>
      <c r="N26" s="64"/>
      <c r="O26" s="61"/>
      <c r="P26" s="64"/>
      <c r="Q26" s="61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34"/>
    </row>
    <row r="27" ht="17.25" customHeight="1" outlineLevel="1">
      <c r="A27" s="65"/>
      <c r="B27" s="66">
        <v>3.1</v>
      </c>
      <c r="C27" s="67" t="s">
        <v>55</v>
      </c>
      <c r="D27" s="67" t="s">
        <v>6</v>
      </c>
      <c r="E27" s="67"/>
      <c r="F27" s="68">
        <v>46226.0</v>
      </c>
      <c r="G27" s="68">
        <v>46232.0</v>
      </c>
      <c r="H27" s="69">
        <f t="shared" ref="H27:H31" si="3">DAYS360(F27,G27)</f>
        <v>6</v>
      </c>
      <c r="I27" s="70">
        <v>0.0</v>
      </c>
      <c r="J27" s="82"/>
      <c r="K27" s="83"/>
      <c r="L27" s="75"/>
      <c r="M27" s="75"/>
      <c r="N27" s="76"/>
      <c r="O27" s="77"/>
      <c r="P27" s="77"/>
      <c r="Q27" s="77"/>
      <c r="R27" s="72"/>
      <c r="S27" s="72"/>
      <c r="T27" s="72"/>
      <c r="U27" s="72"/>
      <c r="V27" s="72"/>
      <c r="W27" s="71"/>
      <c r="X27" s="76"/>
      <c r="Y27" s="77"/>
      <c r="Z27" s="77"/>
      <c r="AA27" s="77"/>
      <c r="AB27" s="77"/>
      <c r="AC27" s="77"/>
      <c r="AD27" s="76"/>
      <c r="AE27" s="76"/>
      <c r="AF27" s="76"/>
      <c r="AG27" s="76"/>
      <c r="AH27" s="76"/>
      <c r="AI27" s="77"/>
      <c r="AJ27" s="77"/>
      <c r="AK27" s="77"/>
      <c r="AL27" s="77"/>
      <c r="AM27" s="77"/>
      <c r="AN27" s="76"/>
      <c r="AO27" s="76"/>
      <c r="AP27" s="76"/>
      <c r="AQ27" s="76"/>
      <c r="AR27" s="76"/>
      <c r="AS27" s="65"/>
    </row>
    <row r="28" ht="17.25" customHeight="1" outlineLevel="1">
      <c r="A28" s="65"/>
      <c r="B28" s="66">
        <v>3.2</v>
      </c>
      <c r="C28" s="67" t="s">
        <v>56</v>
      </c>
      <c r="D28" s="67" t="s">
        <v>6</v>
      </c>
      <c r="E28" s="67" t="s">
        <v>57</v>
      </c>
      <c r="F28" s="68">
        <v>46232.0</v>
      </c>
      <c r="G28" s="68">
        <v>46238.0</v>
      </c>
      <c r="H28" s="69">
        <f t="shared" si="3"/>
        <v>5</v>
      </c>
      <c r="I28" s="70">
        <v>0.0</v>
      </c>
      <c r="J28" s="84"/>
      <c r="K28" s="85"/>
      <c r="L28" s="71"/>
      <c r="M28" s="71"/>
      <c r="N28" s="71"/>
      <c r="O28" s="77"/>
      <c r="P28" s="77"/>
      <c r="Q28" s="77"/>
      <c r="R28" s="77"/>
      <c r="S28" s="77"/>
      <c r="T28" s="74"/>
      <c r="U28" s="74"/>
      <c r="V28" s="74"/>
      <c r="W28" s="72"/>
      <c r="X28" s="72"/>
      <c r="Y28" s="72"/>
      <c r="Z28" s="72"/>
      <c r="AA28" s="77"/>
      <c r="AB28" s="77"/>
      <c r="AC28" s="77"/>
      <c r="AD28" s="74"/>
      <c r="AE28" s="74"/>
      <c r="AF28" s="74"/>
      <c r="AG28" s="74"/>
      <c r="AH28" s="74"/>
      <c r="AI28" s="77"/>
      <c r="AJ28" s="77"/>
      <c r="AK28" s="77"/>
      <c r="AL28" s="77"/>
      <c r="AM28" s="77"/>
      <c r="AN28" s="74"/>
      <c r="AO28" s="74"/>
      <c r="AP28" s="74"/>
      <c r="AQ28" s="74"/>
      <c r="AR28" s="74"/>
      <c r="AS28" s="65"/>
    </row>
    <row r="29" ht="17.25" customHeight="1" outlineLevel="1">
      <c r="A29" s="65"/>
      <c r="B29" s="66" t="s">
        <v>58</v>
      </c>
      <c r="C29" s="67" t="s">
        <v>59</v>
      </c>
      <c r="D29" s="67" t="s">
        <v>6</v>
      </c>
      <c r="E29" s="67"/>
      <c r="F29" s="68">
        <v>46227.0</v>
      </c>
      <c r="G29" s="68">
        <v>46232.0</v>
      </c>
      <c r="H29" s="69">
        <f t="shared" si="3"/>
        <v>5</v>
      </c>
      <c r="I29" s="70">
        <v>0.0</v>
      </c>
      <c r="J29" s="82"/>
      <c r="K29" s="83"/>
      <c r="L29" s="75"/>
      <c r="M29" s="75"/>
      <c r="N29" s="76"/>
      <c r="O29" s="77"/>
      <c r="P29" s="77"/>
      <c r="Q29" s="77"/>
      <c r="R29" s="77"/>
      <c r="S29" s="77"/>
      <c r="T29" s="72"/>
      <c r="U29" s="72"/>
      <c r="V29" s="72"/>
      <c r="W29" s="76"/>
      <c r="X29" s="76"/>
      <c r="Y29" s="77"/>
      <c r="Z29" s="77"/>
      <c r="AA29" s="77"/>
      <c r="AB29" s="77"/>
      <c r="AC29" s="77"/>
      <c r="AD29" s="76"/>
      <c r="AE29" s="76"/>
      <c r="AF29" s="76"/>
      <c r="AG29" s="76"/>
      <c r="AH29" s="76"/>
      <c r="AI29" s="77"/>
      <c r="AJ29" s="77"/>
      <c r="AK29" s="77"/>
      <c r="AL29" s="77"/>
      <c r="AM29" s="77"/>
      <c r="AN29" s="76"/>
      <c r="AO29" s="76"/>
      <c r="AP29" s="76"/>
      <c r="AQ29" s="76"/>
      <c r="AR29" s="76"/>
      <c r="AS29" s="65"/>
    </row>
    <row r="30" ht="17.25" customHeight="1" outlineLevel="1">
      <c r="A30" s="65"/>
      <c r="B30" s="66">
        <v>3.3</v>
      </c>
      <c r="C30" s="67" t="s">
        <v>60</v>
      </c>
      <c r="D30" s="67" t="s">
        <v>6</v>
      </c>
      <c r="E30" s="67" t="s">
        <v>9</v>
      </c>
      <c r="F30" s="68">
        <v>46239.0</v>
      </c>
      <c r="G30" s="68">
        <v>46239.0</v>
      </c>
      <c r="H30" s="69">
        <f t="shared" si="3"/>
        <v>0</v>
      </c>
      <c r="I30" s="86">
        <v>0.0</v>
      </c>
      <c r="J30" s="82"/>
      <c r="K30" s="83"/>
      <c r="L30" s="75"/>
      <c r="M30" s="75"/>
      <c r="N30" s="76"/>
      <c r="O30" s="77"/>
      <c r="P30" s="77"/>
      <c r="Q30" s="77"/>
      <c r="R30" s="77"/>
      <c r="S30" s="77"/>
      <c r="T30" s="74"/>
      <c r="U30" s="74"/>
      <c r="V30" s="74"/>
      <c r="W30" s="71"/>
      <c r="X30" s="76"/>
      <c r="Y30" s="77"/>
      <c r="Z30" s="77"/>
      <c r="AA30" s="72"/>
      <c r="AB30" s="77"/>
      <c r="AC30" s="77"/>
      <c r="AD30" s="76"/>
      <c r="AE30" s="76"/>
      <c r="AF30" s="76"/>
      <c r="AG30" s="76"/>
      <c r="AH30" s="76"/>
      <c r="AI30" s="77"/>
      <c r="AJ30" s="77"/>
      <c r="AK30" s="77"/>
      <c r="AL30" s="77"/>
      <c r="AM30" s="77"/>
      <c r="AN30" s="76"/>
      <c r="AO30" s="76"/>
      <c r="AP30" s="76"/>
      <c r="AQ30" s="76"/>
      <c r="AR30" s="76"/>
      <c r="AS30" s="65"/>
    </row>
    <row r="31" ht="17.25" customHeight="1" outlineLevel="1">
      <c r="A31" s="65"/>
      <c r="B31" s="66">
        <v>3.3</v>
      </c>
      <c r="C31" s="67" t="s">
        <v>61</v>
      </c>
      <c r="D31" s="67" t="s">
        <v>6</v>
      </c>
      <c r="E31" s="67"/>
      <c r="F31" s="68">
        <v>46234.0</v>
      </c>
      <c r="G31" s="68">
        <v>46234.0</v>
      </c>
      <c r="H31" s="69">
        <f t="shared" si="3"/>
        <v>0</v>
      </c>
      <c r="I31" s="70">
        <v>0.0</v>
      </c>
      <c r="J31" s="82"/>
      <c r="K31" s="83"/>
      <c r="L31" s="75"/>
      <c r="M31" s="75"/>
      <c r="N31" s="76"/>
      <c r="O31" s="77"/>
      <c r="P31" s="77"/>
      <c r="Q31" s="77"/>
      <c r="R31" s="77"/>
      <c r="S31" s="77"/>
      <c r="T31" s="71"/>
      <c r="U31" s="71"/>
      <c r="V31" s="71"/>
      <c r="W31" s="71"/>
      <c r="X31" s="72"/>
      <c r="Y31" s="77"/>
      <c r="Z31" s="77"/>
      <c r="AA31" s="77"/>
      <c r="AB31" s="77"/>
      <c r="AC31" s="77"/>
      <c r="AD31" s="76"/>
      <c r="AE31" s="76"/>
      <c r="AF31" s="76"/>
      <c r="AG31" s="76"/>
      <c r="AH31" s="76"/>
      <c r="AI31" s="77"/>
      <c r="AJ31" s="77"/>
      <c r="AK31" s="77"/>
      <c r="AL31" s="77"/>
      <c r="AM31" s="77"/>
      <c r="AN31" s="76"/>
      <c r="AO31" s="76"/>
      <c r="AP31" s="76"/>
      <c r="AQ31" s="76"/>
      <c r="AR31" s="76"/>
      <c r="AS31" s="65"/>
    </row>
    <row r="32" ht="21.0" customHeight="1">
      <c r="A32" s="34"/>
      <c r="B32" s="55">
        <v>4.0</v>
      </c>
      <c r="C32" s="56" t="s">
        <v>62</v>
      </c>
      <c r="D32" s="57"/>
      <c r="E32" s="58"/>
      <c r="F32" s="59">
        <v>46233.0</v>
      </c>
      <c r="G32" s="59">
        <v>46241.0</v>
      </c>
      <c r="H32" s="57"/>
      <c r="I32" s="60"/>
      <c r="J32" s="61"/>
      <c r="K32" s="62"/>
      <c r="L32" s="63"/>
      <c r="M32" s="63"/>
      <c r="N32" s="64"/>
      <c r="O32" s="61"/>
      <c r="P32" s="64"/>
      <c r="Q32" s="61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34"/>
    </row>
    <row r="33" ht="17.25" customHeight="1" outlineLevel="1">
      <c r="A33" s="65"/>
      <c r="B33" s="66">
        <v>4.1</v>
      </c>
      <c r="C33" s="67" t="s">
        <v>63</v>
      </c>
      <c r="D33" s="67" t="s">
        <v>6</v>
      </c>
      <c r="E33" s="67"/>
      <c r="F33" s="68">
        <v>46233.0</v>
      </c>
      <c r="G33" s="68">
        <v>46238.0</v>
      </c>
      <c r="H33" s="69">
        <f t="shared" ref="H33:H39" si="4">DAYS360(F33,G33)</f>
        <v>4</v>
      </c>
      <c r="I33" s="70">
        <v>0.0</v>
      </c>
      <c r="J33" s="84"/>
      <c r="K33" s="85"/>
      <c r="L33" s="71"/>
      <c r="M33" s="71"/>
      <c r="N33" s="71"/>
      <c r="O33" s="77"/>
      <c r="P33" s="77"/>
      <c r="Q33" s="77"/>
      <c r="R33" s="77"/>
      <c r="S33" s="77"/>
      <c r="T33" s="74"/>
      <c r="U33" s="74"/>
      <c r="V33" s="74"/>
      <c r="W33" s="72"/>
      <c r="X33" s="72"/>
      <c r="Y33" s="72"/>
      <c r="Z33" s="72"/>
      <c r="AA33" s="77"/>
      <c r="AB33" s="77"/>
      <c r="AC33" s="77"/>
      <c r="AD33" s="74"/>
      <c r="AE33" s="74"/>
      <c r="AF33" s="74"/>
      <c r="AG33" s="74"/>
      <c r="AH33" s="74"/>
      <c r="AI33" s="77"/>
      <c r="AJ33" s="77"/>
      <c r="AK33" s="77"/>
      <c r="AL33" s="77"/>
      <c r="AM33" s="77"/>
      <c r="AN33" s="74"/>
      <c r="AO33" s="74"/>
      <c r="AP33" s="74"/>
      <c r="AQ33" s="74"/>
      <c r="AR33" s="74"/>
      <c r="AS33" s="65"/>
    </row>
    <row r="34" ht="17.25" customHeight="1" outlineLevel="1">
      <c r="A34" s="65"/>
      <c r="B34" s="66">
        <v>4.2</v>
      </c>
      <c r="C34" s="67" t="s">
        <v>64</v>
      </c>
      <c r="D34" s="67" t="s">
        <v>6</v>
      </c>
      <c r="E34" s="67" t="s">
        <v>65</v>
      </c>
      <c r="F34" s="68">
        <v>46233.0</v>
      </c>
      <c r="G34" s="68">
        <v>46238.0</v>
      </c>
      <c r="H34" s="69">
        <f t="shared" si="4"/>
        <v>4</v>
      </c>
      <c r="I34" s="70">
        <v>0.0</v>
      </c>
      <c r="J34" s="82"/>
      <c r="K34" s="83"/>
      <c r="L34" s="75"/>
      <c r="M34" s="75"/>
      <c r="N34" s="76"/>
      <c r="O34" s="77"/>
      <c r="P34" s="77"/>
      <c r="Q34" s="77"/>
      <c r="R34" s="77"/>
      <c r="S34" s="77"/>
      <c r="T34" s="76"/>
      <c r="U34" s="76"/>
      <c r="V34" s="76"/>
      <c r="W34" s="72"/>
      <c r="X34" s="72"/>
      <c r="Y34" s="72"/>
      <c r="Z34" s="72"/>
      <c r="AA34" s="77"/>
      <c r="AB34" s="77"/>
      <c r="AC34" s="77"/>
      <c r="AD34" s="76"/>
      <c r="AE34" s="76"/>
      <c r="AF34" s="76"/>
      <c r="AG34" s="76"/>
      <c r="AH34" s="76"/>
      <c r="AI34" s="77"/>
      <c r="AJ34" s="77"/>
      <c r="AK34" s="77"/>
      <c r="AL34" s="77"/>
      <c r="AM34" s="77"/>
      <c r="AN34" s="76"/>
      <c r="AO34" s="76"/>
      <c r="AP34" s="76"/>
      <c r="AQ34" s="76"/>
      <c r="AR34" s="76"/>
      <c r="AS34" s="65"/>
    </row>
    <row r="35" ht="17.25" customHeight="1" outlineLevel="1">
      <c r="A35" s="65"/>
      <c r="B35" s="66">
        <v>4.3</v>
      </c>
      <c r="C35" s="67" t="s">
        <v>66</v>
      </c>
      <c r="D35" s="67" t="s">
        <v>6</v>
      </c>
      <c r="E35" s="67"/>
      <c r="F35" s="68">
        <v>46239.0</v>
      </c>
      <c r="G35" s="68">
        <v>46239.0</v>
      </c>
      <c r="H35" s="69">
        <f t="shared" si="4"/>
        <v>0</v>
      </c>
      <c r="I35" s="70">
        <v>0.0</v>
      </c>
      <c r="J35" s="82"/>
      <c r="K35" s="83"/>
      <c r="L35" s="75"/>
      <c r="M35" s="75"/>
      <c r="N35" s="76"/>
      <c r="O35" s="77"/>
      <c r="P35" s="77"/>
      <c r="Q35" s="77"/>
      <c r="R35" s="77"/>
      <c r="S35" s="77"/>
      <c r="T35" s="71"/>
      <c r="U35" s="71"/>
      <c r="V35" s="71"/>
      <c r="W35" s="71"/>
      <c r="X35" s="76"/>
      <c r="Y35" s="77"/>
      <c r="Z35" s="77"/>
      <c r="AA35" s="72"/>
      <c r="AB35" s="77"/>
      <c r="AC35" s="77"/>
      <c r="AD35" s="76"/>
      <c r="AE35" s="76"/>
      <c r="AF35" s="76"/>
      <c r="AG35" s="76"/>
      <c r="AH35" s="76"/>
      <c r="AI35" s="77"/>
      <c r="AJ35" s="77"/>
      <c r="AK35" s="77"/>
      <c r="AL35" s="77"/>
      <c r="AM35" s="77"/>
      <c r="AN35" s="76"/>
      <c r="AO35" s="76"/>
      <c r="AP35" s="76"/>
      <c r="AQ35" s="76"/>
      <c r="AR35" s="76"/>
      <c r="AS35" s="65"/>
    </row>
    <row r="36" ht="17.25" customHeight="1" outlineLevel="1">
      <c r="A36" s="65"/>
      <c r="B36" s="66">
        <v>4.4</v>
      </c>
      <c r="C36" s="67" t="s">
        <v>67</v>
      </c>
      <c r="D36" s="67" t="s">
        <v>6</v>
      </c>
      <c r="E36" s="67"/>
      <c r="F36" s="68">
        <v>46239.0</v>
      </c>
      <c r="G36" s="68">
        <v>46240.0</v>
      </c>
      <c r="H36" s="69">
        <f t="shared" si="4"/>
        <v>1</v>
      </c>
      <c r="I36" s="86">
        <v>0.0</v>
      </c>
      <c r="J36" s="82"/>
      <c r="K36" s="83"/>
      <c r="L36" s="75"/>
      <c r="M36" s="75"/>
      <c r="N36" s="76"/>
      <c r="O36" s="77"/>
      <c r="P36" s="77"/>
      <c r="Q36" s="77"/>
      <c r="R36" s="77"/>
      <c r="S36" s="77"/>
      <c r="T36" s="71"/>
      <c r="U36" s="71"/>
      <c r="V36" s="71"/>
      <c r="W36" s="71"/>
      <c r="X36" s="76"/>
      <c r="Y36" s="77"/>
      <c r="Z36" s="77"/>
      <c r="AA36" s="72"/>
      <c r="AB36" s="72"/>
      <c r="AC36" s="77"/>
      <c r="AD36" s="76"/>
      <c r="AE36" s="76"/>
      <c r="AF36" s="76"/>
      <c r="AG36" s="76"/>
      <c r="AH36" s="76"/>
      <c r="AI36" s="77"/>
      <c r="AJ36" s="77"/>
      <c r="AK36" s="77"/>
      <c r="AL36" s="77"/>
      <c r="AM36" s="77"/>
      <c r="AN36" s="76"/>
      <c r="AO36" s="76"/>
      <c r="AP36" s="76"/>
      <c r="AQ36" s="76"/>
      <c r="AR36" s="76"/>
      <c r="AS36" s="65"/>
    </row>
    <row r="37" ht="17.25" customHeight="1" outlineLevel="1">
      <c r="A37" s="65"/>
      <c r="B37" s="66">
        <v>4.5</v>
      </c>
      <c r="C37" s="67" t="s">
        <v>68</v>
      </c>
      <c r="D37" s="67" t="s">
        <v>6</v>
      </c>
      <c r="E37" s="67"/>
      <c r="F37" s="68">
        <v>46240.0</v>
      </c>
      <c r="G37" s="68">
        <v>46240.0</v>
      </c>
      <c r="H37" s="69">
        <f t="shared" si="4"/>
        <v>0</v>
      </c>
      <c r="I37" s="86">
        <v>0.0</v>
      </c>
      <c r="J37" s="82"/>
      <c r="K37" s="83"/>
      <c r="L37" s="75"/>
      <c r="M37" s="75"/>
      <c r="N37" s="76"/>
      <c r="O37" s="77"/>
      <c r="P37" s="77"/>
      <c r="Q37" s="77"/>
      <c r="R37" s="77"/>
      <c r="S37" s="77"/>
      <c r="T37" s="71"/>
      <c r="U37" s="71"/>
      <c r="V37" s="71"/>
      <c r="W37" s="71"/>
      <c r="X37" s="76"/>
      <c r="Y37" s="77"/>
      <c r="Z37" s="77"/>
      <c r="AA37" s="77"/>
      <c r="AB37" s="72"/>
      <c r="AC37" s="77"/>
      <c r="AD37" s="76"/>
      <c r="AE37" s="76"/>
      <c r="AF37" s="76"/>
      <c r="AG37" s="76"/>
      <c r="AH37" s="76"/>
      <c r="AI37" s="77"/>
      <c r="AJ37" s="77"/>
      <c r="AK37" s="77"/>
      <c r="AL37" s="77"/>
      <c r="AM37" s="77"/>
      <c r="AN37" s="76"/>
      <c r="AO37" s="76"/>
      <c r="AP37" s="76"/>
      <c r="AQ37" s="76"/>
      <c r="AR37" s="76"/>
      <c r="AS37" s="65"/>
    </row>
    <row r="38" ht="17.25" customHeight="1" outlineLevel="1">
      <c r="A38" s="65"/>
      <c r="B38" s="66">
        <v>4.6</v>
      </c>
      <c r="C38" s="67" t="s">
        <v>69</v>
      </c>
      <c r="D38" s="67" t="s">
        <v>6</v>
      </c>
      <c r="E38" s="67"/>
      <c r="F38" s="68">
        <v>46241.0</v>
      </c>
      <c r="G38" s="68">
        <v>46241.0</v>
      </c>
      <c r="H38" s="69">
        <f t="shared" si="4"/>
        <v>0</v>
      </c>
      <c r="I38" s="86">
        <v>0.0</v>
      </c>
      <c r="J38" s="82"/>
      <c r="K38" s="83"/>
      <c r="L38" s="75"/>
      <c r="M38" s="75"/>
      <c r="N38" s="76"/>
      <c r="O38" s="77"/>
      <c r="P38" s="77"/>
      <c r="Q38" s="77"/>
      <c r="R38" s="77"/>
      <c r="S38" s="77"/>
      <c r="T38" s="71"/>
      <c r="U38" s="71"/>
      <c r="V38" s="71"/>
      <c r="W38" s="71"/>
      <c r="X38" s="76"/>
      <c r="Y38" s="77"/>
      <c r="Z38" s="77"/>
      <c r="AA38" s="77"/>
      <c r="AB38" s="77"/>
      <c r="AC38" s="72"/>
      <c r="AD38" s="76"/>
      <c r="AE38" s="76"/>
      <c r="AF38" s="76"/>
      <c r="AG38" s="76"/>
      <c r="AH38" s="76"/>
      <c r="AI38" s="77"/>
      <c r="AJ38" s="77"/>
      <c r="AK38" s="77"/>
      <c r="AL38" s="77"/>
      <c r="AM38" s="77"/>
      <c r="AN38" s="76"/>
      <c r="AO38" s="76"/>
      <c r="AP38" s="76"/>
      <c r="AQ38" s="76"/>
      <c r="AR38" s="76"/>
      <c r="AS38" s="65"/>
    </row>
    <row r="39" ht="17.25" customHeight="1" outlineLevel="1">
      <c r="A39" s="65"/>
      <c r="B39" s="66">
        <v>4.7</v>
      </c>
      <c r="C39" s="67" t="s">
        <v>70</v>
      </c>
      <c r="D39" s="67" t="s">
        <v>6</v>
      </c>
      <c r="E39" s="67"/>
      <c r="F39" s="68">
        <v>46241.0</v>
      </c>
      <c r="G39" s="68">
        <v>46241.0</v>
      </c>
      <c r="H39" s="69">
        <f t="shared" si="4"/>
        <v>0</v>
      </c>
      <c r="I39" s="86">
        <v>0.0</v>
      </c>
      <c r="J39" s="82"/>
      <c r="K39" s="83"/>
      <c r="L39" s="75"/>
      <c r="M39" s="75"/>
      <c r="N39" s="76"/>
      <c r="O39" s="77"/>
      <c r="P39" s="77"/>
      <c r="Q39" s="77"/>
      <c r="R39" s="77"/>
      <c r="S39" s="77"/>
      <c r="T39" s="71"/>
      <c r="U39" s="71"/>
      <c r="V39" s="71"/>
      <c r="W39" s="71"/>
      <c r="X39" s="76"/>
      <c r="Y39" s="77"/>
      <c r="Z39" s="77"/>
      <c r="AA39" s="77"/>
      <c r="AB39" s="77"/>
      <c r="AC39" s="72"/>
      <c r="AD39" s="76"/>
      <c r="AE39" s="76"/>
      <c r="AF39" s="76"/>
      <c r="AG39" s="76"/>
      <c r="AH39" s="76"/>
      <c r="AI39" s="77"/>
      <c r="AJ39" s="77"/>
      <c r="AK39" s="77"/>
      <c r="AL39" s="77"/>
      <c r="AM39" s="77"/>
      <c r="AN39" s="76"/>
      <c r="AO39" s="76"/>
      <c r="AP39" s="76"/>
      <c r="AQ39" s="76"/>
      <c r="AR39" s="76"/>
      <c r="AS39" s="65"/>
    </row>
    <row r="40" ht="21.0" customHeight="1">
      <c r="A40" s="34"/>
      <c r="B40" s="55">
        <v>5.0</v>
      </c>
      <c r="C40" s="56" t="s">
        <v>71</v>
      </c>
      <c r="D40" s="57"/>
      <c r="E40" s="58"/>
      <c r="F40" s="59">
        <v>46244.0</v>
      </c>
      <c r="G40" s="59">
        <v>46248.0</v>
      </c>
      <c r="H40" s="57"/>
      <c r="I40" s="60"/>
      <c r="J40" s="61"/>
      <c r="K40" s="62"/>
      <c r="L40" s="63"/>
      <c r="M40" s="63"/>
      <c r="N40" s="64"/>
      <c r="O40" s="61"/>
      <c r="P40" s="64"/>
      <c r="Q40" s="61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34"/>
    </row>
    <row r="41" ht="17.25" customHeight="1" outlineLevel="1">
      <c r="A41" s="65"/>
      <c r="B41" s="66">
        <v>5.1</v>
      </c>
      <c r="C41" s="67" t="s">
        <v>72</v>
      </c>
      <c r="D41" s="67" t="s">
        <v>6</v>
      </c>
      <c r="E41" s="67"/>
      <c r="F41" s="68">
        <v>46244.0</v>
      </c>
      <c r="G41" s="68">
        <v>46244.0</v>
      </c>
      <c r="H41" s="69">
        <f t="shared" ref="H41:H45" si="5">DAYS360(F41,G41)</f>
        <v>0</v>
      </c>
      <c r="I41" s="70">
        <v>0.0</v>
      </c>
      <c r="J41" s="84"/>
      <c r="K41" s="85"/>
      <c r="L41" s="71"/>
      <c r="M41" s="71"/>
      <c r="N41" s="71"/>
      <c r="O41" s="77"/>
      <c r="P41" s="77"/>
      <c r="Q41" s="77"/>
      <c r="R41" s="77"/>
      <c r="S41" s="77"/>
      <c r="T41" s="74"/>
      <c r="U41" s="74"/>
      <c r="V41" s="74"/>
      <c r="W41" s="74"/>
      <c r="X41" s="74"/>
      <c r="Y41" s="73"/>
      <c r="Z41" s="73"/>
      <c r="AA41" s="73"/>
      <c r="AB41" s="73"/>
      <c r="AC41" s="73"/>
      <c r="AD41" s="72"/>
      <c r="AE41" s="74"/>
      <c r="AF41" s="74"/>
      <c r="AG41" s="74"/>
      <c r="AH41" s="74"/>
      <c r="AI41" s="77"/>
      <c r="AJ41" s="77"/>
      <c r="AK41" s="77"/>
      <c r="AL41" s="77"/>
      <c r="AM41" s="77"/>
      <c r="AN41" s="74"/>
      <c r="AO41" s="74"/>
      <c r="AP41" s="74"/>
      <c r="AQ41" s="74"/>
      <c r="AR41" s="74"/>
      <c r="AS41" s="65"/>
    </row>
    <row r="42" ht="17.25" customHeight="1" outlineLevel="1">
      <c r="A42" s="65"/>
      <c r="B42" s="66">
        <v>5.2</v>
      </c>
      <c r="C42" s="67" t="s">
        <v>73</v>
      </c>
      <c r="D42" s="67" t="s">
        <v>6</v>
      </c>
      <c r="E42" s="67"/>
      <c r="F42" s="68">
        <v>46245.0</v>
      </c>
      <c r="G42" s="68">
        <v>46246.0</v>
      </c>
      <c r="H42" s="69">
        <f t="shared" si="5"/>
        <v>1</v>
      </c>
      <c r="I42" s="70">
        <v>0.0</v>
      </c>
      <c r="J42" s="82"/>
      <c r="K42" s="83"/>
      <c r="L42" s="75"/>
      <c r="M42" s="75"/>
      <c r="N42" s="76"/>
      <c r="O42" s="77"/>
      <c r="P42" s="77"/>
      <c r="Q42" s="77"/>
      <c r="R42" s="77"/>
      <c r="S42" s="77"/>
      <c r="T42" s="71"/>
      <c r="U42" s="71"/>
      <c r="V42" s="71"/>
      <c r="W42" s="71"/>
      <c r="X42" s="76"/>
      <c r="Y42" s="73"/>
      <c r="Z42" s="73"/>
      <c r="AA42" s="73"/>
      <c r="AB42" s="73"/>
      <c r="AC42" s="73"/>
      <c r="AD42" s="76"/>
      <c r="AE42" s="72"/>
      <c r="AF42" s="72"/>
      <c r="AG42" s="76"/>
      <c r="AH42" s="76"/>
      <c r="AI42" s="77"/>
      <c r="AJ42" s="77"/>
      <c r="AK42" s="77"/>
      <c r="AL42" s="77"/>
      <c r="AM42" s="77"/>
      <c r="AN42" s="76"/>
      <c r="AO42" s="76"/>
      <c r="AP42" s="76"/>
      <c r="AQ42" s="76"/>
      <c r="AR42" s="76"/>
      <c r="AS42" s="65"/>
    </row>
    <row r="43" ht="17.25" customHeight="1" outlineLevel="1">
      <c r="A43" s="65"/>
      <c r="B43" s="66">
        <v>5.3</v>
      </c>
      <c r="C43" s="67" t="s">
        <v>74</v>
      </c>
      <c r="D43" s="67" t="s">
        <v>6</v>
      </c>
      <c r="E43" s="67" t="s">
        <v>65</v>
      </c>
      <c r="F43" s="68">
        <v>46246.0</v>
      </c>
      <c r="G43" s="68">
        <v>46246.0</v>
      </c>
      <c r="H43" s="69">
        <f t="shared" si="5"/>
        <v>0</v>
      </c>
      <c r="I43" s="70">
        <v>0.0</v>
      </c>
      <c r="J43" s="82"/>
      <c r="K43" s="83"/>
      <c r="L43" s="75"/>
      <c r="M43" s="75"/>
      <c r="N43" s="76"/>
      <c r="O43" s="77"/>
      <c r="P43" s="77"/>
      <c r="Q43" s="77"/>
      <c r="R43" s="77"/>
      <c r="S43" s="77"/>
      <c r="T43" s="71"/>
      <c r="U43" s="71"/>
      <c r="V43" s="71"/>
      <c r="W43" s="71"/>
      <c r="X43" s="76"/>
      <c r="Y43" s="73"/>
      <c r="Z43" s="73"/>
      <c r="AA43" s="73"/>
      <c r="AB43" s="73"/>
      <c r="AC43" s="73"/>
      <c r="AD43" s="76"/>
      <c r="AE43" s="76"/>
      <c r="AF43" s="72"/>
      <c r="AG43" s="76"/>
      <c r="AH43" s="76"/>
      <c r="AI43" s="77"/>
      <c r="AJ43" s="77"/>
      <c r="AK43" s="77"/>
      <c r="AL43" s="77"/>
      <c r="AM43" s="77"/>
      <c r="AN43" s="76"/>
      <c r="AO43" s="76"/>
      <c r="AP43" s="76"/>
      <c r="AQ43" s="76"/>
      <c r="AR43" s="76"/>
      <c r="AS43" s="65"/>
    </row>
    <row r="44" ht="17.25" customHeight="1" outlineLevel="1">
      <c r="A44" s="65"/>
      <c r="B44" s="66">
        <v>5.4</v>
      </c>
      <c r="C44" s="67" t="s">
        <v>75</v>
      </c>
      <c r="D44" s="67" t="s">
        <v>6</v>
      </c>
      <c r="E44" s="67"/>
      <c r="F44" s="68">
        <v>46247.0</v>
      </c>
      <c r="G44" s="68">
        <v>46248.0</v>
      </c>
      <c r="H44" s="69">
        <f t="shared" si="5"/>
        <v>1</v>
      </c>
      <c r="I44" s="86">
        <v>0.0</v>
      </c>
      <c r="J44" s="82"/>
      <c r="K44" s="83"/>
      <c r="L44" s="75"/>
      <c r="M44" s="75"/>
      <c r="N44" s="76"/>
      <c r="O44" s="77"/>
      <c r="P44" s="77"/>
      <c r="Q44" s="77"/>
      <c r="R44" s="77"/>
      <c r="S44" s="77"/>
      <c r="T44" s="71"/>
      <c r="U44" s="71"/>
      <c r="V44" s="71"/>
      <c r="W44" s="71"/>
      <c r="X44" s="76"/>
      <c r="Y44" s="73"/>
      <c r="Z44" s="73"/>
      <c r="AA44" s="73"/>
      <c r="AB44" s="73"/>
      <c r="AC44" s="73"/>
      <c r="AD44" s="76"/>
      <c r="AE44" s="76"/>
      <c r="AF44" s="76"/>
      <c r="AG44" s="72"/>
      <c r="AH44" s="72"/>
      <c r="AI44" s="77"/>
      <c r="AJ44" s="77"/>
      <c r="AK44" s="77"/>
      <c r="AL44" s="77"/>
      <c r="AM44" s="77"/>
      <c r="AN44" s="76"/>
      <c r="AO44" s="76"/>
      <c r="AP44" s="76"/>
      <c r="AQ44" s="76"/>
      <c r="AR44" s="76"/>
      <c r="AS44" s="65"/>
    </row>
    <row r="45" ht="17.25" customHeight="1" outlineLevel="1">
      <c r="A45" s="65"/>
      <c r="B45" s="66">
        <v>5.5</v>
      </c>
      <c r="C45" s="67" t="s">
        <v>76</v>
      </c>
      <c r="D45" s="67" t="s">
        <v>6</v>
      </c>
      <c r="E45" s="67"/>
      <c r="F45" s="68">
        <v>46248.0</v>
      </c>
      <c r="G45" s="68">
        <v>46248.0</v>
      </c>
      <c r="H45" s="69">
        <f t="shared" si="5"/>
        <v>0</v>
      </c>
      <c r="I45" s="86">
        <v>0.0</v>
      </c>
      <c r="J45" s="82"/>
      <c r="K45" s="83"/>
      <c r="L45" s="75"/>
      <c r="M45" s="75"/>
      <c r="N45" s="76"/>
      <c r="O45" s="77"/>
      <c r="P45" s="77"/>
      <c r="Q45" s="77"/>
      <c r="R45" s="77"/>
      <c r="S45" s="77"/>
      <c r="T45" s="71"/>
      <c r="U45" s="71"/>
      <c r="V45" s="71"/>
      <c r="W45" s="71"/>
      <c r="X45" s="76"/>
      <c r="Y45" s="73"/>
      <c r="Z45" s="73"/>
      <c r="AA45" s="73"/>
      <c r="AB45" s="73"/>
      <c r="AC45" s="73"/>
      <c r="AD45" s="76"/>
      <c r="AE45" s="76"/>
      <c r="AF45" s="76"/>
      <c r="AG45" s="74"/>
      <c r="AH45" s="72"/>
      <c r="AI45" s="77"/>
      <c r="AJ45" s="77"/>
      <c r="AK45" s="77"/>
      <c r="AL45" s="77"/>
      <c r="AM45" s="77"/>
      <c r="AN45" s="76"/>
      <c r="AO45" s="76"/>
      <c r="AP45" s="76"/>
      <c r="AQ45" s="76"/>
      <c r="AR45" s="76"/>
      <c r="AS45" s="65"/>
    </row>
    <row r="46" ht="21.0" customHeight="1">
      <c r="A46" s="34"/>
      <c r="B46" s="55">
        <v>6.0</v>
      </c>
      <c r="C46" s="56" t="s">
        <v>77</v>
      </c>
      <c r="D46" s="57"/>
      <c r="E46" s="58"/>
      <c r="F46" s="59">
        <v>46251.0</v>
      </c>
      <c r="G46" s="59">
        <v>46255.0</v>
      </c>
      <c r="H46" s="57"/>
      <c r="I46" s="60"/>
      <c r="J46" s="61"/>
      <c r="K46" s="62"/>
      <c r="L46" s="63"/>
      <c r="M46" s="63"/>
      <c r="N46" s="64"/>
      <c r="O46" s="61"/>
      <c r="P46" s="64"/>
      <c r="Q46" s="61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34"/>
    </row>
    <row r="47" ht="17.25" customHeight="1" outlineLevel="1">
      <c r="A47" s="65"/>
      <c r="B47" s="66">
        <v>6.1</v>
      </c>
      <c r="C47" s="67" t="s">
        <v>78</v>
      </c>
      <c r="D47" s="67" t="s">
        <v>6</v>
      </c>
      <c r="E47" s="67"/>
      <c r="F47" s="68">
        <v>46251.0</v>
      </c>
      <c r="G47" s="68">
        <v>46255.0</v>
      </c>
      <c r="H47" s="69">
        <f t="shared" ref="H47:H49" si="6">DAYS360(F47,G47)</f>
        <v>4</v>
      </c>
      <c r="I47" s="70">
        <v>0.0</v>
      </c>
      <c r="J47" s="84"/>
      <c r="K47" s="85"/>
      <c r="L47" s="71"/>
      <c r="M47" s="71"/>
      <c r="N47" s="71"/>
      <c r="O47" s="77"/>
      <c r="P47" s="77"/>
      <c r="Q47" s="77"/>
      <c r="R47" s="77"/>
      <c r="S47" s="77"/>
      <c r="T47" s="74"/>
      <c r="U47" s="74"/>
      <c r="V47" s="74"/>
      <c r="W47" s="74"/>
      <c r="X47" s="74"/>
      <c r="Y47" s="73"/>
      <c r="Z47" s="73"/>
      <c r="AA47" s="73"/>
      <c r="AB47" s="73"/>
      <c r="AC47" s="73"/>
      <c r="AD47" s="76"/>
      <c r="AE47" s="76"/>
      <c r="AF47" s="76"/>
      <c r="AG47" s="74"/>
      <c r="AH47" s="76"/>
      <c r="AI47" s="72"/>
      <c r="AJ47" s="72"/>
      <c r="AK47" s="72"/>
      <c r="AL47" s="72"/>
      <c r="AM47" s="72"/>
      <c r="AN47" s="74"/>
      <c r="AO47" s="74"/>
      <c r="AP47" s="74"/>
      <c r="AQ47" s="74"/>
      <c r="AR47" s="74"/>
      <c r="AS47" s="65"/>
    </row>
    <row r="48" ht="17.25" customHeight="1" outlineLevel="1">
      <c r="A48" s="65"/>
      <c r="B48" s="66" t="s">
        <v>79</v>
      </c>
      <c r="C48" s="67" t="s">
        <v>80</v>
      </c>
      <c r="D48" s="67" t="s">
        <v>6</v>
      </c>
      <c r="E48" s="67"/>
      <c r="F48" s="68">
        <v>46251.0</v>
      </c>
      <c r="G48" s="68">
        <v>46253.0</v>
      </c>
      <c r="H48" s="69">
        <f t="shared" si="6"/>
        <v>2</v>
      </c>
      <c r="I48" s="70">
        <v>0.0</v>
      </c>
      <c r="J48" s="82"/>
      <c r="K48" s="83"/>
      <c r="L48" s="75"/>
      <c r="M48" s="75"/>
      <c r="N48" s="76"/>
      <c r="O48" s="77"/>
      <c r="P48" s="77"/>
      <c r="Q48" s="77"/>
      <c r="R48" s="77"/>
      <c r="S48" s="77"/>
      <c r="T48" s="71"/>
      <c r="U48" s="71"/>
      <c r="V48" s="71"/>
      <c r="W48" s="71"/>
      <c r="X48" s="76"/>
      <c r="Y48" s="73"/>
      <c r="Z48" s="73"/>
      <c r="AA48" s="73"/>
      <c r="AB48" s="73"/>
      <c r="AC48" s="73"/>
      <c r="AD48" s="76"/>
      <c r="AE48" s="76"/>
      <c r="AF48" s="76"/>
      <c r="AG48" s="74"/>
      <c r="AH48" s="76"/>
      <c r="AI48" s="72"/>
      <c r="AJ48" s="72"/>
      <c r="AK48" s="72"/>
      <c r="AL48" s="72"/>
      <c r="AM48" s="77"/>
      <c r="AN48" s="76"/>
      <c r="AO48" s="76"/>
      <c r="AP48" s="76"/>
      <c r="AQ48" s="76"/>
      <c r="AR48" s="76"/>
      <c r="AS48" s="65"/>
    </row>
    <row r="49" ht="17.25" customHeight="1" outlineLevel="1">
      <c r="A49" s="65"/>
      <c r="B49" s="66">
        <v>6.2</v>
      </c>
      <c r="C49" s="67" t="s">
        <v>81</v>
      </c>
      <c r="D49" s="67" t="s">
        <v>6</v>
      </c>
      <c r="E49" s="67" t="s">
        <v>65</v>
      </c>
      <c r="F49" s="68">
        <v>46258.0</v>
      </c>
      <c r="G49" s="68">
        <v>46262.0</v>
      </c>
      <c r="H49" s="69">
        <f t="shared" si="6"/>
        <v>4</v>
      </c>
      <c r="I49" s="70">
        <v>0.0</v>
      </c>
      <c r="J49" s="82"/>
      <c r="K49" s="83"/>
      <c r="L49" s="75"/>
      <c r="M49" s="75"/>
      <c r="N49" s="76"/>
      <c r="O49" s="77"/>
      <c r="P49" s="77"/>
      <c r="Q49" s="77"/>
      <c r="R49" s="77"/>
      <c r="S49" s="77"/>
      <c r="T49" s="71"/>
      <c r="U49" s="71"/>
      <c r="V49" s="71"/>
      <c r="W49" s="71"/>
      <c r="X49" s="76"/>
      <c r="Y49" s="73"/>
      <c r="Z49" s="73"/>
      <c r="AA49" s="73"/>
      <c r="AB49" s="73"/>
      <c r="AC49" s="73"/>
      <c r="AD49" s="74"/>
      <c r="AE49" s="74"/>
      <c r="AF49" s="74"/>
      <c r="AG49" s="74"/>
      <c r="AH49" s="76"/>
      <c r="AI49" s="77"/>
      <c r="AJ49" s="77"/>
      <c r="AK49" s="77"/>
      <c r="AL49" s="77"/>
      <c r="AM49" s="77"/>
      <c r="AN49" s="87"/>
      <c r="AO49" s="87"/>
      <c r="AP49" s="87"/>
      <c r="AQ49" s="87"/>
      <c r="AR49" s="87"/>
      <c r="AS49" s="65"/>
    </row>
  </sheetData>
  <mergeCells count="32">
    <mergeCell ref="B2:H2"/>
    <mergeCell ref="J2:O2"/>
    <mergeCell ref="P2:AH2"/>
    <mergeCell ref="B4:C4"/>
    <mergeCell ref="D4:H4"/>
    <mergeCell ref="J4:P4"/>
    <mergeCell ref="Q4:AC4"/>
    <mergeCell ref="F9:F12"/>
    <mergeCell ref="G9:G12"/>
    <mergeCell ref="H9:H12"/>
    <mergeCell ref="I9:I12"/>
    <mergeCell ref="J9:N9"/>
    <mergeCell ref="O9:S9"/>
    <mergeCell ref="T9:Z9"/>
    <mergeCell ref="AA9:AC9"/>
    <mergeCell ref="AD9:AH9"/>
    <mergeCell ref="AI9:AM9"/>
    <mergeCell ref="AN9:AR9"/>
    <mergeCell ref="J10:N10"/>
    <mergeCell ref="O10:S10"/>
    <mergeCell ref="T10:X10"/>
    <mergeCell ref="Y10:AC10"/>
    <mergeCell ref="AD10:AH10"/>
    <mergeCell ref="AI10:AM10"/>
    <mergeCell ref="AN10:AR10"/>
    <mergeCell ref="J5:P5"/>
    <mergeCell ref="Q5:AB5"/>
    <mergeCell ref="B6:C6"/>
    <mergeCell ref="D6:H6"/>
    <mergeCell ref="B9:B12"/>
    <mergeCell ref="C9:C12"/>
    <mergeCell ref="D9:D12"/>
  </mergeCells>
  <conditionalFormatting sqref="I14:I18 I20:I49">
    <cfRule type="colorScale" priority="1">
      <colorScale>
        <cfvo type="min"/>
        <cfvo type="max"/>
        <color rgb="FFFFFFFF"/>
        <color rgb="FF57BB8A"/>
      </colorScale>
    </cfRule>
  </conditionalFormatting>
  <conditionalFormatting sqref="I14:I18 I20:I49">
    <cfRule type="colorScale" priority="2">
      <colorScale>
        <cfvo type="min"/>
        <cfvo type="max"/>
        <color rgb="FF57BB8A"/>
        <color rgb="FFFFFFFF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